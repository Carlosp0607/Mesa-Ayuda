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os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<sst xmlns="http://schemas.openxmlformats.org/spreadsheetml/2006/main" count="1905" uniqueCount="89">
  <si>
    <t xml:space="preserve">Mesa de Ayuda: tablero de indicadores</t>
  </si>
  <si>
    <t xml:space="preserve">Los datos vienen de la hoja Datos. Al reemplazarlos, todo el tablero se recalcula solo.</t>
  </si>
  <si>
    <t xml:space="preserve">Total tickets</t>
  </si>
  <si>
    <t xml:space="preserve">Cerrados</t>
  </si>
  <si>
    <t xml:space="preserve">Pendientes</t>
  </si>
  <si>
    <t xml:space="preserve">% SLA cumplido</t>
  </si>
  <si>
    <t xml:space="preserve">Horas promedio de solución</t>
  </si>
  <si>
    <t xml:space="preserve">% escalados a nivel 2</t>
  </si>
  <si>
    <t xml:space="preserve">Tickets por estado</t>
  </si>
  <si>
    <t xml:space="preserve">Tickets por categoría</t>
  </si>
  <si>
    <t xml:space="preserve">Estado</t>
  </si>
  <si>
    <t xml:space="preserve">Tickets</t>
  </si>
  <si>
    <t xml:space="preserve">Categoría</t>
  </si>
  <si>
    <t xml:space="preserve">abierto</t>
  </si>
  <si>
    <t xml:space="preserve">acceso</t>
  </si>
  <si>
    <t xml:space="preserve">en_proceso</t>
  </si>
  <si>
    <t xml:space="preserve">error</t>
  </si>
  <si>
    <t xml:space="preserve">escalado</t>
  </si>
  <si>
    <t xml:space="preserve">datos</t>
  </si>
  <si>
    <t xml:space="preserve">cerrado</t>
  </si>
  <si>
    <t xml:space="preserve">rendimiento</t>
  </si>
  <si>
    <t xml:space="preserve">consulta</t>
  </si>
  <si>
    <t xml:space="preserve">Cumplimiento de SLA por prioridad (solo cerrados)</t>
  </si>
  <si>
    <t xml:space="preserve">Prioridad</t>
  </si>
  <si>
    <t xml:space="preserve">SLA (horas)</t>
  </si>
  <si>
    <t xml:space="preserve">Horas promedio</t>
  </si>
  <si>
    <t xml:space="preserve">alta</t>
  </si>
  <si>
    <t xml:space="preserve">media</t>
  </si>
  <si>
    <t xml:space="preserve">baja</t>
  </si>
  <si>
    <t xml:space="preserve">SLA (horas) en azul: supuesto del proyecto (alta 4, media 24, baja 72).</t>
  </si>
  <si>
    <t xml:space="preserve">Problemas más repetidos (para la base de conocimiento)</t>
  </si>
  <si>
    <t xml:space="preserve">Problema</t>
  </si>
  <si>
    <t xml:space="preserve">Veces</t>
  </si>
  <si>
    <t xml:space="preserve">No puedo iniciar sesión</t>
  </si>
  <si>
    <t xml:space="preserve">Usuario bloqueado</t>
  </si>
  <si>
    <t xml:space="preserve">Olvidé mi contraseña</t>
  </si>
  <si>
    <t xml:space="preserve">Solicitud de usuario nuevo</t>
  </si>
  <si>
    <t xml:space="preserve">Error 500 al guardar</t>
  </si>
  <si>
    <t xml:space="preserve">El botón de enviar no responde</t>
  </si>
  <si>
    <t xml:space="preserve">Error al cargar archivo</t>
  </si>
  <si>
    <t xml:space="preserve">El reporte no cuadra</t>
  </si>
  <si>
    <t xml:space="preserve">Registro duplicado</t>
  </si>
  <si>
    <t xml:space="preserve">No aparece un registro ingresado</t>
  </si>
  <si>
    <t xml:space="preserve">El sistema está lento</t>
  </si>
  <si>
    <t xml:space="preserve">La página tarda en cargar</t>
  </si>
  <si>
    <t xml:space="preserve">Se cae al generar reportes</t>
  </si>
  <si>
    <t xml:space="preserve">Cómo exportar a Excel</t>
  </si>
  <si>
    <t xml:space="preserve">Cómo cambiar mi correo</t>
  </si>
  <si>
    <t xml:space="preserve">Dónde veo mis casos</t>
  </si>
  <si>
    <t xml:space="preserve">id</t>
  </si>
  <si>
    <t xml:space="preserve">titulo</t>
  </si>
  <si>
    <t xml:space="preserve">tipo</t>
  </si>
  <si>
    <t xml:space="preserve">categoria</t>
  </si>
  <si>
    <t xml:space="preserve">prioridad</t>
  </si>
  <si>
    <t xml:space="preserve">estado</t>
  </si>
  <si>
    <t xml:space="preserve">nivel</t>
  </si>
  <si>
    <t xml:space="preserve">creado_en</t>
  </si>
  <si>
    <t xml:space="preserve">cerrado_en</t>
  </si>
  <si>
    <t xml:space="preserve">horas_resolucion</t>
  </si>
  <si>
    <t xml:space="preserve">sla_horas</t>
  </si>
  <si>
    <t xml:space="preserve">sla_cumplido</t>
  </si>
  <si>
    <t xml:space="preserve">incidente</t>
  </si>
  <si>
    <t xml:space="preserve">si</t>
  </si>
  <si>
    <t xml:space="preserve">requerimiento</t>
  </si>
  <si>
    <t xml:space="preserve">no</t>
  </si>
  <si>
    <t xml:space="preserve">Cómo usar este archivo</t>
  </si>
  <si>
    <t xml:space="preserve">La hoja Datos tiene los tickets exportados de la API (tickets.csv). Para actualizarlos con datos nuevos:</t>
  </si>
  <si>
    <t xml:space="preserve">Opción A: pegar los datos (rápido)</t>
  </si>
  <si>
    <t xml:space="preserve">1. Descarga https://mesa-ayuda-4wfr.onrender.com/reportes/tickets.csv</t>
  </si>
  <si>
    <t xml:space="preserve">2. Ábrelo, copia todo desde la fila 2 y pégalo en la hoja Datos desde la celda A2 (mismas columnas, mismo orden).</t>
  </si>
  <si>
    <t xml:space="preserve">3. El Dashboard se recalcula solo.</t>
  </si>
  <si>
    <t xml:space="preserve">Opción B: Power Query (lo que piden en las ofertas de datos)</t>
  </si>
  <si>
    <t xml:space="preserve">1. En un libro nuevo: Datos &gt; Obtener datos &gt; Desde archivo &gt; Desde texto/CSV &gt; escoge tickets.csv.</t>
  </si>
  <si>
    <t xml:space="preserve">2. En la ventana, pulsa Transformar datos para abrir el editor de Power Query.</t>
  </si>
  <si>
    <t xml:space="preserve">3. Revisa los tipos de columna: creado_en y cerrado_en = Fecha y hora; horas_resolucion = Número decimal;</t>
  </si>
  <si>
    <t xml:space="preserve">   si los decimales salen mal, cambia el tipo usando 'Usar configuración regional' &gt; Inglés (Estados Unidos).</t>
  </si>
  <si>
    <t xml:space="preserve">4. Agrega una columna: Agregar columna &gt; Columna personalizada &gt; nombre 'mes', fórmula: Date.ToText([creado_en], "yyyy-MM").</t>
  </si>
  <si>
    <t xml:space="preserve">5. Cerrar y cargar. Cada vez que descargues un CSV nuevo con el mismo nombre, solo das clic en Datos &gt; Actualizar todo.</t>
  </si>
  <si>
    <t xml:space="preserve">Tablero en Power BI Desktop</t>
  </si>
  <si>
    <t xml:space="preserve">1. Inicio &gt; Obtener datos &gt; Texto/CSV &gt; tickets.csv &gt; Transformar datos (mismos pasos 3 y 4 de Power Query).</t>
  </si>
  <si>
    <t xml:space="preserve">2. Crea estas medidas (Modelado &gt; Nueva medida):</t>
  </si>
  <si>
    <t xml:space="preserve">   Total tickets = COUNTROWS(tickets)</t>
  </si>
  <si>
    <t xml:space="preserve">   Cerrados = CALCULATE(COUNTROWS(tickets), tickets[estado] = "cerrado")</t>
  </si>
  <si>
    <t xml:space="preserve">   % SLA cumplido = DIVIDE(CALCULATE(COUNTROWS(tickets), tickets[estado] = "cerrado", tickets[sla_cumplido] = "si"), [Cerrados])</t>
  </si>
  <si>
    <t xml:space="preserve">   Horas promedio = CALCULATE(AVERAGE(tickets[horas_resolucion]), tickets[estado] = "cerrado")</t>
  </si>
  <si>
    <t xml:space="preserve">   % escalados = DIVIDE(CALCULATE(COUNTROWS(tickets), tickets[nivel] = 2), [Total tickets])</t>
  </si>
  <si>
    <t xml:space="preserve">3. Visuales: 4 tarjetas (Total, Cerrados, % SLA, Horas promedio); columnas por categoría; columnas % SLA por prioridad;</t>
  </si>
  <si>
    <t xml:space="preserve">   gráfico de líneas de tickets por mes; tabla de títulos ordenada por cantidad; segmentador por prioridad.</t>
  </si>
  <si>
    <t xml:space="preserve">4. Guarda como MesaAyuda.pbix y súbelo al repositorio junto con un pantallazo del tablero.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</si>
</sst>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General"/>
    <numFmt numFmtId="169" formatCode="0%"/>
    <numFmt numFmtId="170" formatCode="yyyy\-mm\-dd\ 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EAF1F8"/>
        <bgColor rgb="FFF9F9F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C0504D"/>
      <rgbColor rgb="FFF9F9F9"/>
      <rgbColor rgb="FFEAF1F8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Dashboard!F10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Dashboard!$E$11:$E$15</c:f>
              <c:strCache>
                <c:ptCount val="5"/>
                <c:pt idx="0">
                  <c:v>acceso</c:v>
                </c:pt>
                <c:pt idx="1">
                  <c:v>error</c:v>
                </c:pt>
                <c:pt idx="2">
                  <c:v>datos</c:v>
                </c:pt>
                <c:pt idx="3">
                  <c:v>rendimiento</c:v>
                </c:pt>
                <c:pt idx="4">
                  <c:v>consulta</c:v>
                </c:pt>
              </c:strCache>
            </c:strRef>
          </c:cat>
          <c:val>
            <c:numRef>
              <c:f>Dashboard!$F$11:$F$15</c:f>
              <c:numCache>
                <c:formatCode>General</c:formatCode>
                <c:ptCount val="5"/>
                <c:pt idx="0">
                  <c:v>46</c:v>
                </c:pt>
                <c:pt idx="1">
                  <c:v>60</c:v>
                </c:pt>
                <c:pt idx="2">
                  <c:v>56</c:v>
                </c:pt>
                <c:pt idx="3">
                  <c:v>65</c:v>
                </c:pt>
                <c:pt idx="4">
                  <c:v>73</c:v>
                </c:pt>
              </c:numCache>
            </c:numRef>
          </c:val>
        </c:ser>
        <c:gapWidth val="150"/>
        <c:overlap val="0"/>
        <c:axId val="26679461"/>
        <c:axId val="68914464"/>
      </c:barChart>
      <c:catAx>
        <c:axId val="26679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14464"/>
        <c:crosses val="autoZero"/>
        <c:auto val="1"/>
        <c:lblAlgn val="ctr"/>
        <c:lblOffset val="100"/>
        <c:noMultiLvlLbl val="0"/>
      </c:catAx>
      <c:valAx>
        <c:axId val="68914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79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SLA cumplido por prioridad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Dashboard!F19</c:f>
              <c:strCache>
                <c:ptCount val="1"/>
                <c:pt idx="0">
                  <c:v>% SLA cumplido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Dashboard!$B$20:$B$22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Dashboard!$F$20:$F$22</c:f>
              <c:numCache>
                <c:formatCode>0.0%</c:formatCode>
                <c:ptCount val="3"/>
                <c:pt idx="0">
                  <c:v>0.660714285714286</c:v>
                </c:pt>
                <c:pt idx="1">
                  <c:v>0.676470588235294</c:v>
                </c:pt>
                <c:pt idx="2">
                  <c:v>0.7125</c:v>
                </c:pt>
              </c:numCache>
            </c:numRef>
          </c:val>
        </c:ser>
        <c:gapWidth val="150"/>
        <c:overlap val="0"/>
        <c:axId val="75438650"/>
        <c:axId val="24471797"/>
      </c:barChart>
      <c:catAx>
        <c:axId val="75438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71797"/>
        <c:crosses val="autoZero"/>
        <c:auto val="1"/>
        <c:lblAlgn val="ctr"/>
        <c:lblOffset val="100"/>
        <c:noMultiLvlLbl val="0"/>
      </c:catAx>
      <c:valAx>
        <c:axId val="2447179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38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Dashboard!C10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Dashboard!$B$11:$B$14</c:f>
              <c:strCache>
                <c:ptCount val="4"/>
                <c:pt idx="0">
                  <c:v>abierto</c:v>
                </c:pt>
                <c:pt idx="1">
                  <c:v>en_proceso</c:v>
                </c:pt>
                <c:pt idx="2">
                  <c:v>escalado</c:v>
                </c:pt>
                <c:pt idx="3">
                  <c:v>cerrado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272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101160</xdr:rowOff>
    </xdr:from>
    <xdr:to>
      <xdr:col>16</xdr:col>
      <xdr:colOff>399240</xdr:colOff>
      <xdr:row>14</xdr:row>
      <xdr:rowOff>96480</xdr:rowOff>
    </xdr:to>
    <xdr:graphicFrame>
      <xdr:nvGraphicFramePr>
        <xdr:cNvPr id="0" name="Chart 1"/>
        <xdr:cNvGraphicFramePr/>
      </xdr:nvGraphicFramePr>
      <xdr:xfrm>
        <a:off x="892872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101160</xdr:rowOff>
    </xdr:from>
    <xdr:to>
      <xdr:col>16</xdr:col>
      <xdr:colOff>399240</xdr:colOff>
      <xdr:row>30</xdr:row>
      <xdr:rowOff>184320</xdr:rowOff>
    </xdr:to>
    <xdr:graphicFrame>
      <xdr:nvGraphicFramePr>
        <xdr:cNvPr id="1" name="Chart 2"/>
        <xdr:cNvGraphicFramePr/>
      </xdr:nvGraphicFramePr>
      <xdr:xfrm>
        <a:off x="8928720" y="40482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32</xdr:row>
      <xdr:rowOff>140760</xdr:rowOff>
    </xdr:from>
    <xdr:to>
      <xdr:col>16</xdr:col>
      <xdr:colOff>399240</xdr:colOff>
      <xdr:row>45</xdr:row>
      <xdr:rowOff>183960</xdr:rowOff>
    </xdr:to>
    <xdr:graphicFrame>
      <xdr:nvGraphicFramePr>
        <xdr:cNvPr id="2" name="Chart 3"/>
        <xdr:cNvGraphicFramePr/>
      </xdr:nvGraphicFramePr>
      <xdr:xfrm>
        <a:off x="8928720" y="69055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ickets" displayName="Tickets" ref="A1:L301" headerRowCount="1" totalsRowCount="0" totalsRowShown="0">
  <autoFilter ref="A1:L301"/>
  <tableColumns count="12">
    <tableColumn id="1" name="id"/>
    <tableColumn id="2" name="titulo"/>
    <tableColumn id="3" name="tipo"/>
    <tableColumn id="4" name="categoria"/>
    <tableColumn id="5" name="prioridad"/>
    <tableColumn id="6" name="estado"/>
    <tableColumn id="7" name="nivel"/>
    <tableColumn id="8" name="creado_en"/>
    <tableColumn id="9" name="cerrado_en"/>
    <tableColumn id="10" name="horas_resolucion"/>
    <tableColumn id="11" name="sla_horas"/>
    <tableColumn id="12" name="sla_cumpl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8" min="5" style="0" width="1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customFormat="false" ht="33.75" hidden="false" customHeight="true" outlineLevel="0" collapsed="false">
      <c r="C6" s="4" t="n">
        <f aca="false">COUNTA(Datos!$A$2:$A$5000)</f>
        <v>300</v>
      </c>
      <c r="D6" s="4" t="n">
        <f aca="false">COUNTIF(Datos!$F$2:$F$5000,"cerrado")</f>
        <v>272</v>
      </c>
      <c r="E6" s="4" t="n">
        <f aca="false">C6-D6</f>
        <v>28</v>
      </c>
      <c r="F6" s="5" t="n">
        <f aca="false">IFERROR(COUNTIFS(Datos!$F$2:$F$5000,"cerrado",Datos!$L$2:$L$5000,"si")/D6,0)</f>
        <v>0.683823529411765</v>
      </c>
      <c r="G6" s="6" t="n">
        <f aca="false">IFERROR(AVERAGEIFS(Datos!$J$2:$J$5000,Datos!$F$2:$F$5000,"cerrado"),0)</f>
        <v>24.4246323529412</v>
      </c>
      <c r="H6" s="5" t="n">
        <f aca="false">IFERROR(COUNTIF(Datos!$G$2:$G$5000,2)/C6,0)</f>
        <v>0.17</v>
      </c>
    </row>
    <row r="9" customFormat="false" ht="15" hidden="false" customHeight="false" outlineLevel="0" collapsed="false">
      <c r="B9" s="7" t="s">
        <v>8</v>
      </c>
      <c r="E9" s="7" t="s">
        <v>9</v>
      </c>
    </row>
    <row r="10" customFormat="false" ht="15" hidden="false" customHeight="false" outlineLevel="0" collapsed="false">
      <c r="B10" s="8" t="s">
        <v>10</v>
      </c>
      <c r="C10" s="8" t="s">
        <v>11</v>
      </c>
      <c r="E10" s="8" t="s">
        <v>12</v>
      </c>
      <c r="F10" s="8" t="s">
        <v>11</v>
      </c>
    </row>
    <row r="11" customFormat="false" ht="15" hidden="false" customHeight="false" outlineLevel="0" collapsed="false">
      <c r="B11" s="9" t="s">
        <v>13</v>
      </c>
      <c r="C11" s="9" t="n">
        <f aca="false">COUNTIF(Datos!$F$2:$F$5000,B11)</f>
        <v>8</v>
      </c>
      <c r="E11" s="9" t="s">
        <v>14</v>
      </c>
      <c r="F11" s="9" t="n">
        <f aca="false">COUNTIF(Datos!$D$2:$D$5000,E11)</f>
        <v>46</v>
      </c>
    </row>
    <row r="12" customFormat="false" ht="15" hidden="false" customHeight="false" outlineLevel="0" collapsed="false">
      <c r="B12" s="9" t="s">
        <v>15</v>
      </c>
      <c r="C12" s="9" t="n">
        <f aca="false">COUNTIF(Datos!$F$2:$F$5000,B12)</f>
        <v>14</v>
      </c>
      <c r="E12" s="9" t="s">
        <v>16</v>
      </c>
      <c r="F12" s="9" t="n">
        <f aca="false">COUNTIF(Datos!$D$2:$D$5000,E12)</f>
        <v>60</v>
      </c>
    </row>
    <row r="13" customFormat="false" ht="15" hidden="false" customHeight="false" outlineLevel="0" collapsed="false">
      <c r="B13" s="9" t="s">
        <v>17</v>
      </c>
      <c r="C13" s="9" t="n">
        <f aca="false">COUNTIF(Datos!$F$2:$F$5000,B13)</f>
        <v>6</v>
      </c>
      <c r="E13" s="9" t="s">
        <v>18</v>
      </c>
      <c r="F13" s="9" t="n">
        <f aca="false">COUNTIF(Datos!$D$2:$D$5000,E13)</f>
        <v>56</v>
      </c>
    </row>
    <row r="14" customFormat="false" ht="15" hidden="false" customHeight="false" outlineLevel="0" collapsed="false">
      <c r="B14" s="9" t="s">
        <v>19</v>
      </c>
      <c r="C14" s="9" t="n">
        <f aca="false">COUNTIF(Datos!$F$2:$F$5000,B14)</f>
        <v>272</v>
      </c>
      <c r="E14" s="9" t="s">
        <v>20</v>
      </c>
      <c r="F14" s="9" t="n">
        <f aca="false">COUNTIF(Datos!$D$2:$D$5000,E14)</f>
        <v>65</v>
      </c>
    </row>
    <row r="15" customFormat="false" ht="15" hidden="false" customHeight="false" outlineLevel="0" collapsed="false">
      <c r="E15" s="9" t="s">
        <v>21</v>
      </c>
      <c r="F15" s="9" t="n">
        <f aca="false">COUNTIF(Datos!$D$2:$D$5000,E15)</f>
        <v>73</v>
      </c>
    </row>
    <row r="18" customFormat="false" ht="15" hidden="false" customHeight="false" outlineLevel="0" collapsed="false">
      <c r="B18" s="7" t="s">
        <v>22</v>
      </c>
    </row>
    <row r="19" customFormat="false" ht="26.85" hidden="false" customHeight="false" outlineLevel="0" collapsed="false">
      <c r="B19" s="8" t="s">
        <v>23</v>
      </c>
      <c r="C19" s="8" t="s">
        <v>24</v>
      </c>
      <c r="D19" s="8" t="s">
        <v>3</v>
      </c>
      <c r="E19" s="8" t="s">
        <v>25</v>
      </c>
      <c r="F19" s="8" t="s">
        <v>5</v>
      </c>
    </row>
    <row r="20" customFormat="false" ht="15" hidden="false" customHeight="false" outlineLevel="0" collapsed="false">
      <c r="B20" s="9" t="s">
        <v>26</v>
      </c>
      <c r="C20" s="10" t="n">
        <v>4</v>
      </c>
      <c r="D20" s="9" t="n">
        <f aca="false">COUNTIFS(Datos!$E$2:$E$5000,B20,Datos!$F$2:$F$5000,"cerrado")</f>
        <v>56</v>
      </c>
      <c r="E20" s="11" t="n">
        <f aca="false">IFERROR(AVERAGEIFS(Datos!$J$2:$J$5000,Datos!$E$2:$E$5000,B20,Datos!$F$2:$F$5000,"cerrado"),0)</f>
        <v>3.23571428571429</v>
      </c>
      <c r="F20" s="12" t="n">
        <f aca="false">IFERROR(COUNTIFS(Datos!$E$2:$E$5000,B20,Datos!$F$2:$F$5000,"cerrado",Datos!$L$2:$L$5000,"si")/D20,0)</f>
        <v>0.660714285714286</v>
      </c>
    </row>
    <row r="21" customFormat="false" ht="15" hidden="false" customHeight="false" outlineLevel="0" collapsed="false">
      <c r="B21" s="9" t="s">
        <v>27</v>
      </c>
      <c r="C21" s="10" t="n">
        <v>24</v>
      </c>
      <c r="D21" s="9" t="n">
        <f aca="false">COUNTIFS(Datos!$E$2:$E$5000,B21,Datos!$F$2:$F$5000,"cerrado")</f>
        <v>136</v>
      </c>
      <c r="E21" s="11" t="n">
        <f aca="false">IFERROR(AVERAGEIFS(Datos!$J$2:$J$5000,Datos!$E$2:$E$5000,B21,Datos!$F$2:$F$5000,"cerrado"),0)</f>
        <v>19.0095588235294</v>
      </c>
      <c r="F21" s="12" t="n">
        <f aca="false">IFERROR(COUNTIFS(Datos!$E$2:$E$5000,B21,Datos!$F$2:$F$5000,"cerrado",Datos!$L$2:$L$5000,"si")/D21,0)</f>
        <v>0.676470588235294</v>
      </c>
    </row>
    <row r="22" customFormat="false" ht="15" hidden="false" customHeight="false" outlineLevel="0" collapsed="false">
      <c r="B22" s="9" t="s">
        <v>28</v>
      </c>
      <c r="C22" s="10" t="n">
        <v>72</v>
      </c>
      <c r="D22" s="9" t="n">
        <f aca="false">COUNTIFS(Datos!$E$2:$E$5000,B22,Datos!$F$2:$F$5000,"cerrado")</f>
        <v>80</v>
      </c>
      <c r="E22" s="11" t="n">
        <f aca="false">IFERROR(AVERAGEIFS(Datos!$J$2:$J$5000,Datos!$E$2:$E$5000,B22,Datos!$F$2:$F$5000,"cerrado"),0)</f>
        <v>48.4625</v>
      </c>
      <c r="F22" s="12" t="n">
        <f aca="false">IFERROR(COUNTIFS(Datos!$E$2:$E$5000,B22,Datos!$F$2:$F$5000,"cerrado",Datos!$L$2:$L$5000,"si")/D22,0)</f>
        <v>0.7125</v>
      </c>
    </row>
    <row r="23" customFormat="false" ht="15" hidden="false" customHeight="false" outlineLevel="0" collapsed="false">
      <c r="B23" s="13" t="s">
        <v>29</v>
      </c>
    </row>
    <row r="25" customFormat="false" ht="15" hidden="false" customHeight="false" outlineLevel="0" collapsed="false">
      <c r="B25" s="7" t="s">
        <v>30</v>
      </c>
    </row>
    <row r="26" customFormat="false" ht="15" hidden="false" customHeight="false" outlineLevel="0" collapsed="false">
      <c r="B26" s="8" t="s">
        <v>31</v>
      </c>
      <c r="C26" s="8" t="s">
        <v>32</v>
      </c>
      <c r="D26" s="8" t="s">
        <v>12</v>
      </c>
    </row>
    <row r="27" customFormat="false" ht="15" hidden="false" customHeight="false" outlineLevel="0" collapsed="false">
      <c r="B27" s="9" t="s">
        <v>33</v>
      </c>
      <c r="C27" s="14" t="n">
        <f aca="false">COUNTIF(Datos!$B$2:$B$5000,B27)</f>
        <v>17</v>
      </c>
      <c r="D27" s="9" t="s">
        <v>14</v>
      </c>
    </row>
    <row r="28" customFormat="false" ht="15" hidden="false" customHeight="false" outlineLevel="0" collapsed="false">
      <c r="B28" s="9" t="s">
        <v>34</v>
      </c>
      <c r="C28" s="14" t="n">
        <f aca="false">COUNTIF(Datos!$B$2:$B$5000,B28)</f>
        <v>13</v>
      </c>
      <c r="D28" s="9" t="s">
        <v>14</v>
      </c>
    </row>
    <row r="29" customFormat="false" ht="15" hidden="false" customHeight="false" outlineLevel="0" collapsed="false">
      <c r="B29" s="9" t="s">
        <v>35</v>
      </c>
      <c r="C29" s="14" t="n">
        <f aca="false">COUNTIF(Datos!$B$2:$B$5000,B29)</f>
        <v>10</v>
      </c>
      <c r="D29" s="9" t="s">
        <v>14</v>
      </c>
    </row>
    <row r="30" customFormat="false" ht="15" hidden="false" customHeight="false" outlineLevel="0" collapsed="false">
      <c r="B30" s="9" t="s">
        <v>36</v>
      </c>
      <c r="C30" s="14" t="n">
        <f aca="false">COUNTIF(Datos!$B$2:$B$5000,B30)</f>
        <v>6</v>
      </c>
      <c r="D30" s="9" t="s">
        <v>14</v>
      </c>
    </row>
    <row r="31" customFormat="false" ht="15" hidden="false" customHeight="false" outlineLevel="0" collapsed="false">
      <c r="B31" s="9" t="s">
        <v>37</v>
      </c>
      <c r="C31" s="14" t="n">
        <f aca="false">COUNTIF(Datos!$B$2:$B$5000,B31)</f>
        <v>16</v>
      </c>
      <c r="D31" s="9" t="s">
        <v>16</v>
      </c>
    </row>
    <row r="32" customFormat="false" ht="15" hidden="false" customHeight="false" outlineLevel="0" collapsed="false">
      <c r="B32" s="9" t="s">
        <v>38</v>
      </c>
      <c r="C32" s="14" t="n">
        <f aca="false">COUNTIF(Datos!$B$2:$B$5000,B32)</f>
        <v>16</v>
      </c>
      <c r="D32" s="9" t="s">
        <v>16</v>
      </c>
    </row>
    <row r="33" customFormat="false" ht="15" hidden="false" customHeight="false" outlineLevel="0" collapsed="false">
      <c r="B33" s="9" t="s">
        <v>39</v>
      </c>
      <c r="C33" s="14" t="n">
        <f aca="false">COUNTIF(Datos!$B$2:$B$5000,B33)</f>
        <v>28</v>
      </c>
      <c r="D33" s="9" t="s">
        <v>16</v>
      </c>
    </row>
    <row r="34" customFormat="false" ht="15" hidden="false" customHeight="false" outlineLevel="0" collapsed="false">
      <c r="B34" s="9" t="s">
        <v>40</v>
      </c>
      <c r="C34" s="14" t="n">
        <f aca="false">COUNTIF(Datos!$B$2:$B$5000,B34)</f>
        <v>16</v>
      </c>
      <c r="D34" s="9" t="s">
        <v>18</v>
      </c>
    </row>
    <row r="35" customFormat="false" ht="15" hidden="false" customHeight="false" outlineLevel="0" collapsed="false">
      <c r="B35" s="9" t="s">
        <v>41</v>
      </c>
      <c r="C35" s="14" t="n">
        <f aca="false">COUNTIF(Datos!$B$2:$B$5000,B35)</f>
        <v>19</v>
      </c>
      <c r="D35" s="9" t="s">
        <v>18</v>
      </c>
    </row>
    <row r="36" customFormat="false" ht="15" hidden="false" customHeight="false" outlineLevel="0" collapsed="false">
      <c r="B36" s="9" t="s">
        <v>42</v>
      </c>
      <c r="C36" s="14" t="n">
        <f aca="false">COUNTIF(Datos!$B$2:$B$5000,B36)</f>
        <v>21</v>
      </c>
      <c r="D36" s="9" t="s">
        <v>18</v>
      </c>
    </row>
    <row r="37" customFormat="false" ht="15" hidden="false" customHeight="false" outlineLevel="0" collapsed="false">
      <c r="B37" s="9" t="s">
        <v>43</v>
      </c>
      <c r="C37" s="14" t="n">
        <f aca="false">COUNTIF(Datos!$B$2:$B$5000,B37)</f>
        <v>19</v>
      </c>
      <c r="D37" s="9" t="s">
        <v>20</v>
      </c>
    </row>
    <row r="38" customFormat="false" ht="15" hidden="false" customHeight="false" outlineLevel="0" collapsed="false">
      <c r="B38" s="9" t="s">
        <v>44</v>
      </c>
      <c r="C38" s="14" t="n">
        <f aca="false">COUNTIF(Datos!$B$2:$B$5000,B38)</f>
        <v>18</v>
      </c>
      <c r="D38" s="9" t="s">
        <v>20</v>
      </c>
    </row>
    <row r="39" customFormat="false" ht="15" hidden="false" customHeight="false" outlineLevel="0" collapsed="false">
      <c r="B39" s="9" t="s">
        <v>45</v>
      </c>
      <c r="C39" s="14" t="n">
        <f aca="false">COUNTIF(Datos!$B$2:$B$5000,B39)</f>
        <v>28</v>
      </c>
      <c r="D39" s="9" t="s">
        <v>20</v>
      </c>
    </row>
    <row r="40" customFormat="false" ht="15" hidden="false" customHeight="false" outlineLevel="0" collapsed="false">
      <c r="B40" s="9" t="s">
        <v>46</v>
      </c>
      <c r="C40" s="14" t="n">
        <f aca="false">COUNTIF(Datos!$B$2:$B$5000,B40)</f>
        <v>17</v>
      </c>
      <c r="D40" s="9" t="s">
        <v>21</v>
      </c>
    </row>
    <row r="41" customFormat="false" ht="15" hidden="false" customHeight="false" outlineLevel="0" collapsed="false">
      <c r="B41" s="9" t="s">
        <v>47</v>
      </c>
      <c r="C41" s="14" t="n">
        <f aca="false">COUNTIF(Datos!$B$2:$B$5000,B41)</f>
        <v>26</v>
      </c>
      <c r="D41" s="9" t="s">
        <v>21</v>
      </c>
    </row>
    <row r="42" customFormat="false" ht="15" hidden="false" customHeight="false" outlineLevel="0" collapsed="false">
      <c r="B42" s="9" t="s">
        <v>48</v>
      </c>
      <c r="C42" s="14" t="n">
        <f aca="false">COUNTIF(Datos!$B$2:$B$5000,B42)</f>
        <v>30</v>
      </c>
      <c r="D42" s="9" t="s">
        <v>21</v>
      </c>
    </row>
  </sheetData>
  <conditionalFormatting sqref="C27:C42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{EC3D7987-5B29-4341-B4DF-227269FA7B33}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3D7987-5B29-4341-B4DF-227269FA7B33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C27:C42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10" min="8" style="0" width="17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5" t="s">
        <v>49</v>
      </c>
      <c r="B1" s="15" t="s">
        <v>50</v>
      </c>
      <c r="C1" s="15" t="s">
        <v>51</v>
      </c>
      <c r="D1" s="15" t="s">
        <v>52</v>
      </c>
      <c r="E1" s="15" t="s">
        <v>53</v>
      </c>
      <c r="F1" s="15" t="s">
        <v>54</v>
      </c>
      <c r="G1" s="15" t="s">
        <v>55</v>
      </c>
      <c r="H1" s="15" t="s">
        <v>56</v>
      </c>
      <c r="I1" s="15" t="s">
        <v>57</v>
      </c>
      <c r="J1" s="15" t="s">
        <v>58</v>
      </c>
      <c r="K1" s="15" t="s">
        <v>59</v>
      </c>
      <c r="L1" s="15" t="s">
        <v>60</v>
      </c>
    </row>
    <row r="2" customFormat="false" ht="15" hidden="false" customHeight="false" outlineLevel="0" collapsed="false">
      <c r="A2" s="16" t="n">
        <v>1</v>
      </c>
      <c r="B2" s="16" t="s">
        <v>40</v>
      </c>
      <c r="C2" s="16" t="s">
        <v>61</v>
      </c>
      <c r="D2" s="16" t="s">
        <v>18</v>
      </c>
      <c r="E2" s="16" t="s">
        <v>28</v>
      </c>
      <c r="F2" s="16" t="s">
        <v>19</v>
      </c>
      <c r="G2" s="16" t="n">
        <v>2</v>
      </c>
      <c r="H2" s="17" t="n">
        <v>46289.5618055556</v>
      </c>
      <c r="I2" s="17" t="n">
        <v>46292.0854166667</v>
      </c>
      <c r="J2" s="18" t="n">
        <v>60.6</v>
      </c>
      <c r="K2" s="16" t="n">
        <v>72</v>
      </c>
      <c r="L2" s="16" t="s">
        <v>62</v>
      </c>
    </row>
    <row r="3" customFormat="false" ht="15" hidden="false" customHeight="false" outlineLevel="0" collapsed="false">
      <c r="A3" s="16" t="n">
        <v>2</v>
      </c>
      <c r="B3" s="16" t="s">
        <v>48</v>
      </c>
      <c r="C3" s="16" t="s">
        <v>63</v>
      </c>
      <c r="D3" s="16" t="s">
        <v>21</v>
      </c>
      <c r="E3" s="16" t="s">
        <v>27</v>
      </c>
      <c r="F3" s="16" t="s">
        <v>19</v>
      </c>
      <c r="G3" s="16" t="n">
        <v>2</v>
      </c>
      <c r="H3" s="17" t="n">
        <v>46214.3819444445</v>
      </c>
      <c r="I3" s="17" t="n">
        <v>46216.1645833333</v>
      </c>
      <c r="J3" s="18" t="n">
        <v>42.8</v>
      </c>
      <c r="K3" s="16" t="n">
        <v>24</v>
      </c>
      <c r="L3" s="16" t="s">
        <v>64</v>
      </c>
    </row>
    <row r="4" customFormat="false" ht="15" hidden="false" customHeight="false" outlineLevel="0" collapsed="false">
      <c r="A4" s="16" t="n">
        <v>3</v>
      </c>
      <c r="B4" s="16" t="s">
        <v>33</v>
      </c>
      <c r="C4" s="16" t="s">
        <v>61</v>
      </c>
      <c r="D4" s="16" t="s">
        <v>14</v>
      </c>
      <c r="E4" s="16" t="s">
        <v>28</v>
      </c>
      <c r="F4" s="16" t="s">
        <v>19</v>
      </c>
      <c r="G4" s="16" t="n">
        <v>2</v>
      </c>
      <c r="H4" s="17" t="n">
        <v>46258.4444444445</v>
      </c>
      <c r="I4" s="17" t="n">
        <v>46258.8020833333</v>
      </c>
      <c r="J4" s="18" t="n">
        <v>8.6</v>
      </c>
      <c r="K4" s="16" t="n">
        <v>72</v>
      </c>
      <c r="L4" s="16" t="s">
        <v>62</v>
      </c>
    </row>
    <row r="5" customFormat="false" ht="15" hidden="false" customHeight="false" outlineLevel="0" collapsed="false">
      <c r="A5" s="16" t="n">
        <v>4</v>
      </c>
      <c r="B5" s="16" t="s">
        <v>33</v>
      </c>
      <c r="C5" s="16" t="s">
        <v>61</v>
      </c>
      <c r="D5" s="16" t="s">
        <v>14</v>
      </c>
      <c r="E5" s="16" t="s">
        <v>27</v>
      </c>
      <c r="F5" s="16" t="s">
        <v>19</v>
      </c>
      <c r="G5" s="16" t="n">
        <v>1</v>
      </c>
      <c r="H5" s="17" t="n">
        <v>46238.4965277778</v>
      </c>
      <c r="I5" s="17" t="n">
        <v>46239.70625</v>
      </c>
      <c r="J5" s="18" t="n">
        <v>29</v>
      </c>
      <c r="K5" s="16" t="n">
        <v>24</v>
      </c>
      <c r="L5" s="16" t="s">
        <v>64</v>
      </c>
    </row>
    <row r="6" customFormat="false" ht="15" hidden="false" customHeight="false" outlineLevel="0" collapsed="false">
      <c r="A6" s="16" t="n">
        <v>5</v>
      </c>
      <c r="B6" s="16" t="s">
        <v>39</v>
      </c>
      <c r="C6" s="16" t="s">
        <v>61</v>
      </c>
      <c r="D6" s="16" t="s">
        <v>16</v>
      </c>
      <c r="E6" s="16" t="s">
        <v>27</v>
      </c>
      <c r="F6" s="16" t="s">
        <v>19</v>
      </c>
      <c r="G6" s="16" t="n">
        <v>1</v>
      </c>
      <c r="H6" s="17" t="n">
        <v>46217.3125</v>
      </c>
      <c r="I6" s="17" t="n">
        <v>46217.7354166667</v>
      </c>
      <c r="J6" s="18" t="n">
        <v>10.2</v>
      </c>
      <c r="K6" s="16" t="n">
        <v>24</v>
      </c>
      <c r="L6" s="16" t="s">
        <v>62</v>
      </c>
    </row>
    <row r="7" customFormat="false" ht="15" hidden="false" customHeight="false" outlineLevel="0" collapsed="false">
      <c r="A7" s="16" t="n">
        <v>6</v>
      </c>
      <c r="B7" s="16" t="s">
        <v>42</v>
      </c>
      <c r="C7" s="16" t="s">
        <v>61</v>
      </c>
      <c r="D7" s="16" t="s">
        <v>18</v>
      </c>
      <c r="E7" s="16" t="s">
        <v>27</v>
      </c>
      <c r="F7" s="16" t="s">
        <v>19</v>
      </c>
      <c r="G7" s="16" t="n">
        <v>1</v>
      </c>
      <c r="H7" s="17" t="n">
        <v>46209.46875</v>
      </c>
      <c r="I7" s="17" t="n">
        <v>46210.4743055556</v>
      </c>
      <c r="J7" s="18" t="n">
        <v>24.1</v>
      </c>
      <c r="K7" s="16" t="n">
        <v>24</v>
      </c>
      <c r="L7" s="16" t="s">
        <v>64</v>
      </c>
    </row>
    <row r="8" customFormat="false" ht="15" hidden="false" customHeight="false" outlineLevel="0" collapsed="false">
      <c r="A8" s="16" t="n">
        <v>7</v>
      </c>
      <c r="B8" s="16" t="s">
        <v>45</v>
      </c>
      <c r="C8" s="16" t="s">
        <v>61</v>
      </c>
      <c r="D8" s="16" t="s">
        <v>20</v>
      </c>
      <c r="E8" s="16" t="s">
        <v>26</v>
      </c>
      <c r="F8" s="16" t="s">
        <v>19</v>
      </c>
      <c r="G8" s="16" t="n">
        <v>1</v>
      </c>
      <c r="H8" s="17" t="n">
        <v>46226.85625</v>
      </c>
      <c r="I8" s="17" t="n">
        <v>46227.0583333333</v>
      </c>
      <c r="J8" s="18" t="n">
        <v>4.9</v>
      </c>
      <c r="K8" s="16" t="n">
        <v>4</v>
      </c>
      <c r="L8" s="16" t="s">
        <v>64</v>
      </c>
    </row>
    <row r="9" customFormat="false" ht="15" hidden="false" customHeight="false" outlineLevel="0" collapsed="false">
      <c r="A9" s="16" t="n">
        <v>8</v>
      </c>
      <c r="B9" s="16" t="s">
        <v>39</v>
      </c>
      <c r="C9" s="16" t="s">
        <v>61</v>
      </c>
      <c r="D9" s="16" t="s">
        <v>16</v>
      </c>
      <c r="E9" s="16" t="s">
        <v>28</v>
      </c>
      <c r="F9" s="16" t="s">
        <v>19</v>
      </c>
      <c r="G9" s="16" t="n">
        <v>1</v>
      </c>
      <c r="H9" s="17" t="n">
        <v>46258.4875</v>
      </c>
      <c r="I9" s="17" t="n">
        <v>46259.2652777778</v>
      </c>
      <c r="J9" s="18" t="n">
        <v>18.7</v>
      </c>
      <c r="K9" s="16" t="n">
        <v>72</v>
      </c>
      <c r="L9" s="16" t="s">
        <v>62</v>
      </c>
    </row>
    <row r="10" customFormat="false" ht="15" hidden="false" customHeight="false" outlineLevel="0" collapsed="false">
      <c r="A10" s="16" t="n">
        <v>9</v>
      </c>
      <c r="B10" s="16" t="s">
        <v>40</v>
      </c>
      <c r="C10" s="16" t="s">
        <v>61</v>
      </c>
      <c r="D10" s="16" t="s">
        <v>18</v>
      </c>
      <c r="E10" s="16" t="s">
        <v>27</v>
      </c>
      <c r="F10" s="16" t="s">
        <v>19</v>
      </c>
      <c r="G10" s="16" t="n">
        <v>1</v>
      </c>
      <c r="H10" s="17" t="n">
        <v>46239.9493055556</v>
      </c>
      <c r="I10" s="17" t="n">
        <v>46239.9777777778</v>
      </c>
      <c r="J10" s="18" t="n">
        <v>0.7</v>
      </c>
      <c r="K10" s="16" t="n">
        <v>24</v>
      </c>
      <c r="L10" s="16" t="s">
        <v>62</v>
      </c>
    </row>
    <row r="11" customFormat="false" ht="15" hidden="false" customHeight="false" outlineLevel="0" collapsed="false">
      <c r="A11" s="16" t="n">
        <v>10</v>
      </c>
      <c r="B11" s="16" t="s">
        <v>40</v>
      </c>
      <c r="C11" s="16" t="s">
        <v>61</v>
      </c>
      <c r="D11" s="16" t="s">
        <v>18</v>
      </c>
      <c r="E11" s="16" t="s">
        <v>27</v>
      </c>
      <c r="F11" s="16" t="s">
        <v>19</v>
      </c>
      <c r="G11" s="16" t="n">
        <v>1</v>
      </c>
      <c r="H11" s="17" t="n">
        <v>46247.9333333333</v>
      </c>
      <c r="I11" s="17" t="n">
        <v>46248.1569444445</v>
      </c>
      <c r="J11" s="18" t="n">
        <v>5.4</v>
      </c>
      <c r="K11" s="16" t="n">
        <v>24</v>
      </c>
      <c r="L11" s="16" t="s">
        <v>62</v>
      </c>
    </row>
    <row r="12" customFormat="false" ht="15" hidden="false" customHeight="false" outlineLevel="0" collapsed="false">
      <c r="A12" s="16" t="n">
        <v>11</v>
      </c>
      <c r="B12" s="16" t="s">
        <v>42</v>
      </c>
      <c r="C12" s="16" t="s">
        <v>61</v>
      </c>
      <c r="D12" s="16" t="s">
        <v>18</v>
      </c>
      <c r="E12" s="16" t="s">
        <v>28</v>
      </c>
      <c r="F12" s="16" t="s">
        <v>19</v>
      </c>
      <c r="G12" s="16" t="n">
        <v>1</v>
      </c>
      <c r="H12" s="17" t="n">
        <v>46218.7451388889</v>
      </c>
      <c r="I12" s="17" t="n">
        <v>46218.8263888889</v>
      </c>
      <c r="J12" s="18" t="n">
        <v>2</v>
      </c>
      <c r="K12" s="16" t="n">
        <v>72</v>
      </c>
      <c r="L12" s="16" t="s">
        <v>62</v>
      </c>
    </row>
    <row r="13" customFormat="false" ht="15" hidden="false" customHeight="false" outlineLevel="0" collapsed="false">
      <c r="A13" s="16" t="n">
        <v>12</v>
      </c>
      <c r="B13" s="16" t="s">
        <v>43</v>
      </c>
      <c r="C13" s="16" t="s">
        <v>61</v>
      </c>
      <c r="D13" s="16" t="s">
        <v>20</v>
      </c>
      <c r="E13" s="16" t="s">
        <v>27</v>
      </c>
      <c r="F13" s="16" t="s">
        <v>19</v>
      </c>
      <c r="G13" s="16" t="n">
        <v>1</v>
      </c>
      <c r="H13" s="17" t="n">
        <v>46243.4180555556</v>
      </c>
      <c r="I13" s="17" t="n">
        <v>46244.0854166667</v>
      </c>
      <c r="J13" s="18" t="n">
        <v>16</v>
      </c>
      <c r="K13" s="16" t="n">
        <v>24</v>
      </c>
      <c r="L13" s="16" t="s">
        <v>62</v>
      </c>
    </row>
    <row r="14" customFormat="false" ht="15" hidden="false" customHeight="false" outlineLevel="0" collapsed="false">
      <c r="A14" s="16" t="n">
        <v>13</v>
      </c>
      <c r="B14" s="16" t="s">
        <v>43</v>
      </c>
      <c r="C14" s="16" t="s">
        <v>61</v>
      </c>
      <c r="D14" s="16" t="s">
        <v>20</v>
      </c>
      <c r="E14" s="16" t="s">
        <v>28</v>
      </c>
      <c r="F14" s="16" t="s">
        <v>19</v>
      </c>
      <c r="G14" s="16" t="n">
        <v>1</v>
      </c>
      <c r="H14" s="17" t="n">
        <v>46257.7694444444</v>
      </c>
      <c r="I14" s="17" t="n">
        <v>46257.8534722222</v>
      </c>
      <c r="J14" s="18" t="n">
        <v>2</v>
      </c>
      <c r="K14" s="16" t="n">
        <v>72</v>
      </c>
      <c r="L14" s="16" t="s">
        <v>62</v>
      </c>
    </row>
    <row r="15" customFormat="false" ht="15" hidden="false" customHeight="false" outlineLevel="0" collapsed="false">
      <c r="A15" s="16" t="n">
        <v>14</v>
      </c>
      <c r="B15" s="16" t="s">
        <v>46</v>
      </c>
      <c r="C15" s="16" t="s">
        <v>63</v>
      </c>
      <c r="D15" s="16" t="s">
        <v>21</v>
      </c>
      <c r="E15" s="16" t="s">
        <v>27</v>
      </c>
      <c r="F15" s="16" t="s">
        <v>19</v>
      </c>
      <c r="G15" s="16" t="n">
        <v>1</v>
      </c>
      <c r="H15" s="17" t="n">
        <v>46218.3402777778</v>
      </c>
      <c r="I15" s="17" t="n">
        <v>46218.6895833333</v>
      </c>
      <c r="J15" s="18" t="n">
        <v>8.4</v>
      </c>
      <c r="K15" s="16" t="n">
        <v>24</v>
      </c>
      <c r="L15" s="16" t="s">
        <v>62</v>
      </c>
    </row>
    <row r="16" customFormat="false" ht="15" hidden="false" customHeight="false" outlineLevel="0" collapsed="false">
      <c r="A16" s="16" t="n">
        <v>15</v>
      </c>
      <c r="B16" s="16" t="s">
        <v>42</v>
      </c>
      <c r="C16" s="16" t="s">
        <v>61</v>
      </c>
      <c r="D16" s="16" t="s">
        <v>18</v>
      </c>
      <c r="E16" s="16" t="s">
        <v>27</v>
      </c>
      <c r="F16" s="16" t="s">
        <v>19</v>
      </c>
      <c r="G16" s="16" t="n">
        <v>1</v>
      </c>
      <c r="H16" s="17" t="n">
        <v>46274.46875</v>
      </c>
      <c r="I16" s="17" t="n">
        <v>46275.8659722222</v>
      </c>
      <c r="J16" s="18" t="n">
        <v>33.5</v>
      </c>
      <c r="K16" s="16" t="n">
        <v>24</v>
      </c>
      <c r="L16" s="16" t="s">
        <v>64</v>
      </c>
    </row>
    <row r="17" customFormat="false" ht="15" hidden="false" customHeight="false" outlineLevel="0" collapsed="false">
      <c r="A17" s="16" t="n">
        <v>16</v>
      </c>
      <c r="B17" s="16" t="s">
        <v>42</v>
      </c>
      <c r="C17" s="16" t="s">
        <v>61</v>
      </c>
      <c r="D17" s="16" t="s">
        <v>18</v>
      </c>
      <c r="E17" s="16" t="s">
        <v>28</v>
      </c>
      <c r="F17" s="16" t="s">
        <v>19</v>
      </c>
      <c r="G17" s="16" t="n">
        <v>2</v>
      </c>
      <c r="H17" s="17" t="n">
        <v>46225.9902777778</v>
      </c>
      <c r="I17" s="17" t="n">
        <v>46227.9368055556</v>
      </c>
      <c r="J17" s="18" t="n">
        <v>46.7</v>
      </c>
      <c r="K17" s="16" t="n">
        <v>72</v>
      </c>
      <c r="L17" s="16" t="s">
        <v>62</v>
      </c>
    </row>
    <row r="18" customFormat="false" ht="15" hidden="false" customHeight="false" outlineLevel="0" collapsed="false">
      <c r="A18" s="16" t="n">
        <v>17</v>
      </c>
      <c r="B18" s="16" t="s">
        <v>36</v>
      </c>
      <c r="C18" s="16" t="s">
        <v>63</v>
      </c>
      <c r="D18" s="16" t="s">
        <v>14</v>
      </c>
      <c r="E18" s="16" t="s">
        <v>27</v>
      </c>
      <c r="F18" s="16" t="s">
        <v>19</v>
      </c>
      <c r="G18" s="16" t="n">
        <v>1</v>
      </c>
      <c r="H18" s="17" t="n">
        <v>46251.3347222222</v>
      </c>
      <c r="I18" s="17" t="n">
        <v>46252.1375</v>
      </c>
      <c r="J18" s="18" t="n">
        <v>19.3</v>
      </c>
      <c r="K18" s="16" t="n">
        <v>24</v>
      </c>
      <c r="L18" s="16" t="s">
        <v>62</v>
      </c>
    </row>
    <row r="19" customFormat="false" ht="15" hidden="false" customHeight="false" outlineLevel="0" collapsed="false">
      <c r="A19" s="16" t="n">
        <v>18</v>
      </c>
      <c r="B19" s="16" t="s">
        <v>48</v>
      </c>
      <c r="C19" s="16" t="s">
        <v>63</v>
      </c>
      <c r="D19" s="16" t="s">
        <v>21</v>
      </c>
      <c r="E19" s="16" t="s">
        <v>27</v>
      </c>
      <c r="F19" s="16" t="s">
        <v>19</v>
      </c>
      <c r="G19" s="16" t="n">
        <v>1</v>
      </c>
      <c r="H19" s="17" t="n">
        <v>46217.9465277778</v>
      </c>
      <c r="I19" s="17" t="n">
        <v>46219.0416666667</v>
      </c>
      <c r="J19" s="18" t="n">
        <v>26.3</v>
      </c>
      <c r="K19" s="16" t="n">
        <v>24</v>
      </c>
      <c r="L19" s="16" t="s">
        <v>64</v>
      </c>
    </row>
    <row r="20" customFormat="false" ht="15" hidden="false" customHeight="false" outlineLevel="0" collapsed="false">
      <c r="A20" s="16" t="n">
        <v>19</v>
      </c>
      <c r="B20" s="16" t="s">
        <v>39</v>
      </c>
      <c r="C20" s="16" t="s">
        <v>61</v>
      </c>
      <c r="D20" s="16" t="s">
        <v>16</v>
      </c>
      <c r="E20" s="16" t="s">
        <v>28</v>
      </c>
      <c r="F20" s="16" t="s">
        <v>19</v>
      </c>
      <c r="G20" s="16" t="n">
        <v>1</v>
      </c>
      <c r="H20" s="17" t="n">
        <v>46273.6916666667</v>
      </c>
      <c r="I20" s="17" t="n">
        <v>46275.3465277778</v>
      </c>
      <c r="J20" s="18" t="n">
        <v>39.7</v>
      </c>
      <c r="K20" s="16" t="n">
        <v>72</v>
      </c>
      <c r="L20" s="16" t="s">
        <v>62</v>
      </c>
    </row>
    <row r="21" customFormat="false" ht="15" hidden="false" customHeight="false" outlineLevel="0" collapsed="false">
      <c r="A21" s="16" t="n">
        <v>20</v>
      </c>
      <c r="B21" s="16" t="s">
        <v>48</v>
      </c>
      <c r="C21" s="16" t="s">
        <v>63</v>
      </c>
      <c r="D21" s="16" t="s">
        <v>21</v>
      </c>
      <c r="E21" s="16" t="s">
        <v>27</v>
      </c>
      <c r="F21" s="16" t="s">
        <v>19</v>
      </c>
      <c r="G21" s="16" t="n">
        <v>2</v>
      </c>
      <c r="H21" s="17" t="n">
        <v>46251.4333333333</v>
      </c>
      <c r="I21" s="17" t="n">
        <v>46252.3</v>
      </c>
      <c r="J21" s="18" t="n">
        <v>20.8</v>
      </c>
      <c r="K21" s="16" t="n">
        <v>24</v>
      </c>
      <c r="L21" s="16" t="s">
        <v>62</v>
      </c>
    </row>
    <row r="22" customFormat="false" ht="15" hidden="false" customHeight="false" outlineLevel="0" collapsed="false">
      <c r="A22" s="16" t="n">
        <v>21</v>
      </c>
      <c r="B22" s="16" t="s">
        <v>44</v>
      </c>
      <c r="C22" s="16" t="s">
        <v>61</v>
      </c>
      <c r="D22" s="16" t="s">
        <v>20</v>
      </c>
      <c r="E22" s="16" t="s">
        <v>27</v>
      </c>
      <c r="F22" s="16" t="s">
        <v>19</v>
      </c>
      <c r="G22" s="16" t="n">
        <v>1</v>
      </c>
      <c r="H22" s="17" t="n">
        <v>46276.1180555556</v>
      </c>
      <c r="I22" s="17" t="n">
        <v>46277.1166666667</v>
      </c>
      <c r="J22" s="18" t="n">
        <v>24</v>
      </c>
      <c r="K22" s="16" t="n">
        <v>24</v>
      </c>
      <c r="L22" s="16" t="s">
        <v>62</v>
      </c>
    </row>
    <row r="23" customFormat="false" ht="15" hidden="false" customHeight="false" outlineLevel="0" collapsed="false">
      <c r="A23" s="16" t="n">
        <v>22</v>
      </c>
      <c r="B23" s="16" t="s">
        <v>39</v>
      </c>
      <c r="C23" s="16" t="s">
        <v>61</v>
      </c>
      <c r="D23" s="16" t="s">
        <v>16</v>
      </c>
      <c r="E23" s="16" t="s">
        <v>28</v>
      </c>
      <c r="F23" s="16" t="s">
        <v>19</v>
      </c>
      <c r="G23" s="16" t="n">
        <v>1</v>
      </c>
      <c r="H23" s="17" t="n">
        <v>46242.7354166667</v>
      </c>
      <c r="I23" s="17" t="n">
        <v>46246.79375</v>
      </c>
      <c r="J23" s="18" t="n">
        <v>97.4</v>
      </c>
      <c r="K23" s="16" t="n">
        <v>72</v>
      </c>
      <c r="L23" s="16" t="s">
        <v>64</v>
      </c>
    </row>
    <row r="24" customFormat="false" ht="15" hidden="false" customHeight="false" outlineLevel="0" collapsed="false">
      <c r="A24" s="16" t="n">
        <v>23</v>
      </c>
      <c r="B24" s="16" t="s">
        <v>42</v>
      </c>
      <c r="C24" s="16" t="s">
        <v>61</v>
      </c>
      <c r="D24" s="16" t="s">
        <v>18</v>
      </c>
      <c r="E24" s="16" t="s">
        <v>26</v>
      </c>
      <c r="F24" s="16" t="s">
        <v>19</v>
      </c>
      <c r="G24" s="16" t="n">
        <v>1</v>
      </c>
      <c r="H24" s="17" t="n">
        <v>46245.4604166667</v>
      </c>
      <c r="I24" s="17" t="n">
        <v>46245.5409722222</v>
      </c>
      <c r="J24" s="18" t="n">
        <v>1.9</v>
      </c>
      <c r="K24" s="16" t="n">
        <v>4</v>
      </c>
      <c r="L24" s="16" t="s">
        <v>62</v>
      </c>
    </row>
    <row r="25" customFormat="false" ht="15" hidden="false" customHeight="false" outlineLevel="0" collapsed="false">
      <c r="A25" s="16" t="n">
        <v>24</v>
      </c>
      <c r="B25" s="16" t="s">
        <v>41</v>
      </c>
      <c r="C25" s="16" t="s">
        <v>61</v>
      </c>
      <c r="D25" s="16" t="s">
        <v>18</v>
      </c>
      <c r="E25" s="16" t="s">
        <v>26</v>
      </c>
      <c r="F25" s="16" t="s">
        <v>19</v>
      </c>
      <c r="G25" s="16" t="n">
        <v>2</v>
      </c>
      <c r="H25" s="17" t="n">
        <v>46243.6451388889</v>
      </c>
      <c r="I25" s="17" t="n">
        <v>46243.8090277778</v>
      </c>
      <c r="J25" s="18" t="n">
        <v>3.9</v>
      </c>
      <c r="K25" s="16" t="n">
        <v>4</v>
      </c>
      <c r="L25" s="16" t="s">
        <v>62</v>
      </c>
    </row>
    <row r="26" customFormat="false" ht="15" hidden="false" customHeight="false" outlineLevel="0" collapsed="false">
      <c r="A26" s="16" t="n">
        <v>25</v>
      </c>
      <c r="B26" s="16" t="s">
        <v>46</v>
      </c>
      <c r="C26" s="16" t="s">
        <v>63</v>
      </c>
      <c r="D26" s="16" t="s">
        <v>21</v>
      </c>
      <c r="E26" s="16" t="s">
        <v>28</v>
      </c>
      <c r="F26" s="16" t="s">
        <v>19</v>
      </c>
      <c r="G26" s="16" t="n">
        <v>1</v>
      </c>
      <c r="H26" s="17" t="n">
        <v>46207.8451388889</v>
      </c>
      <c r="I26" s="17" t="n">
        <v>46211.4798611111</v>
      </c>
      <c r="J26" s="18" t="n">
        <v>87.2</v>
      </c>
      <c r="K26" s="16" t="n">
        <v>72</v>
      </c>
      <c r="L26" s="16" t="s">
        <v>64</v>
      </c>
    </row>
    <row r="27" customFormat="false" ht="15" hidden="false" customHeight="false" outlineLevel="0" collapsed="false">
      <c r="A27" s="16" t="n">
        <v>26</v>
      </c>
      <c r="B27" s="16" t="s">
        <v>41</v>
      </c>
      <c r="C27" s="16" t="s">
        <v>61</v>
      </c>
      <c r="D27" s="16" t="s">
        <v>18</v>
      </c>
      <c r="E27" s="16" t="s">
        <v>28</v>
      </c>
      <c r="F27" s="16" t="s">
        <v>19</v>
      </c>
      <c r="G27" s="16" t="n">
        <v>2</v>
      </c>
      <c r="H27" s="17" t="n">
        <v>46246.6326388889</v>
      </c>
      <c r="I27" s="17" t="n">
        <v>46248.8368055556</v>
      </c>
      <c r="J27" s="18" t="n">
        <v>52.9</v>
      </c>
      <c r="K27" s="16" t="n">
        <v>72</v>
      </c>
      <c r="L27" s="16" t="s">
        <v>62</v>
      </c>
    </row>
    <row r="28" customFormat="false" ht="15" hidden="false" customHeight="false" outlineLevel="0" collapsed="false">
      <c r="A28" s="16" t="n">
        <v>27</v>
      </c>
      <c r="B28" s="16" t="s">
        <v>33</v>
      </c>
      <c r="C28" s="16" t="s">
        <v>61</v>
      </c>
      <c r="D28" s="16" t="s">
        <v>14</v>
      </c>
      <c r="E28" s="16" t="s">
        <v>26</v>
      </c>
      <c r="F28" s="16" t="s">
        <v>19</v>
      </c>
      <c r="G28" s="16" t="n">
        <v>1</v>
      </c>
      <c r="H28" s="17" t="n">
        <v>46253.8215277778</v>
      </c>
      <c r="I28" s="17" t="n">
        <v>46253.8395833333</v>
      </c>
      <c r="J28" s="18" t="n">
        <v>0.4</v>
      </c>
      <c r="K28" s="16" t="n">
        <v>4</v>
      </c>
      <c r="L28" s="16" t="s">
        <v>62</v>
      </c>
    </row>
    <row r="29" customFormat="false" ht="15" hidden="false" customHeight="false" outlineLevel="0" collapsed="false">
      <c r="A29" s="16" t="n">
        <v>28</v>
      </c>
      <c r="B29" s="16" t="s">
        <v>38</v>
      </c>
      <c r="C29" s="16" t="s">
        <v>61</v>
      </c>
      <c r="D29" s="16" t="s">
        <v>16</v>
      </c>
      <c r="E29" s="16" t="s">
        <v>27</v>
      </c>
      <c r="F29" s="16" t="s">
        <v>19</v>
      </c>
      <c r="G29" s="16" t="n">
        <v>1</v>
      </c>
      <c r="H29" s="17" t="n">
        <v>46263.675</v>
      </c>
      <c r="I29" s="17" t="n">
        <v>46264.8354166667</v>
      </c>
      <c r="J29" s="18" t="n">
        <v>27.9</v>
      </c>
      <c r="K29" s="16" t="n">
        <v>24</v>
      </c>
      <c r="L29" s="16" t="s">
        <v>64</v>
      </c>
    </row>
    <row r="30" customFormat="false" ht="15" hidden="false" customHeight="false" outlineLevel="0" collapsed="false">
      <c r="A30" s="16" t="n">
        <v>29</v>
      </c>
      <c r="B30" s="16" t="s">
        <v>45</v>
      </c>
      <c r="C30" s="16" t="s">
        <v>61</v>
      </c>
      <c r="D30" s="16" t="s">
        <v>20</v>
      </c>
      <c r="E30" s="16" t="s">
        <v>28</v>
      </c>
      <c r="F30" s="16" t="s">
        <v>13</v>
      </c>
      <c r="G30" s="16" t="n">
        <v>1</v>
      </c>
      <c r="H30" s="17" t="n">
        <v>46286.6090277778</v>
      </c>
      <c r="I30" s="17"/>
      <c r="J30" s="18"/>
      <c r="K30" s="16" t="n">
        <v>72</v>
      </c>
      <c r="L30" s="16" t="s">
        <v>64</v>
      </c>
    </row>
    <row r="31" customFormat="false" ht="15" hidden="false" customHeight="false" outlineLevel="0" collapsed="false">
      <c r="A31" s="16" t="n">
        <v>30</v>
      </c>
      <c r="B31" s="16" t="s">
        <v>44</v>
      </c>
      <c r="C31" s="16" t="s">
        <v>61</v>
      </c>
      <c r="D31" s="16" t="s">
        <v>20</v>
      </c>
      <c r="E31" s="16" t="s">
        <v>28</v>
      </c>
      <c r="F31" s="16" t="s">
        <v>19</v>
      </c>
      <c r="G31" s="16" t="n">
        <v>1</v>
      </c>
      <c r="H31" s="17" t="n">
        <v>46204.8680555556</v>
      </c>
      <c r="I31" s="17" t="n">
        <v>46206.2069444444</v>
      </c>
      <c r="J31" s="18" t="n">
        <v>32.1</v>
      </c>
      <c r="K31" s="16" t="n">
        <v>72</v>
      </c>
      <c r="L31" s="16" t="s">
        <v>62</v>
      </c>
    </row>
    <row r="32" customFormat="false" ht="15" hidden="false" customHeight="false" outlineLevel="0" collapsed="false">
      <c r="A32" s="16" t="n">
        <v>31</v>
      </c>
      <c r="B32" s="16" t="s">
        <v>39</v>
      </c>
      <c r="C32" s="16" t="s">
        <v>61</v>
      </c>
      <c r="D32" s="16" t="s">
        <v>16</v>
      </c>
      <c r="E32" s="16" t="s">
        <v>26</v>
      </c>
      <c r="F32" s="16" t="s">
        <v>19</v>
      </c>
      <c r="G32" s="16" t="n">
        <v>1</v>
      </c>
      <c r="H32" s="17" t="n">
        <v>46228.6486111111</v>
      </c>
      <c r="I32" s="17" t="n">
        <v>46228.8451388889</v>
      </c>
      <c r="J32" s="18" t="n">
        <v>4.7</v>
      </c>
      <c r="K32" s="16" t="n">
        <v>4</v>
      </c>
      <c r="L32" s="16" t="s">
        <v>64</v>
      </c>
    </row>
    <row r="33" customFormat="false" ht="15" hidden="false" customHeight="false" outlineLevel="0" collapsed="false">
      <c r="A33" s="16" t="n">
        <v>32</v>
      </c>
      <c r="B33" s="16" t="s">
        <v>35</v>
      </c>
      <c r="C33" s="16" t="s">
        <v>61</v>
      </c>
      <c r="D33" s="16" t="s">
        <v>14</v>
      </c>
      <c r="E33" s="16" t="s">
        <v>27</v>
      </c>
      <c r="F33" s="16" t="s">
        <v>19</v>
      </c>
      <c r="G33" s="16" t="n">
        <v>1</v>
      </c>
      <c r="H33" s="17" t="n">
        <v>46241.5229166667</v>
      </c>
      <c r="I33" s="17" t="n">
        <v>46242.5270833333</v>
      </c>
      <c r="J33" s="18" t="n">
        <v>24.1</v>
      </c>
      <c r="K33" s="16" t="n">
        <v>24</v>
      </c>
      <c r="L33" s="16" t="s">
        <v>64</v>
      </c>
    </row>
    <row r="34" customFormat="false" ht="15" hidden="false" customHeight="false" outlineLevel="0" collapsed="false">
      <c r="A34" s="16" t="n">
        <v>33</v>
      </c>
      <c r="B34" s="16" t="s">
        <v>38</v>
      </c>
      <c r="C34" s="16" t="s">
        <v>61</v>
      </c>
      <c r="D34" s="16" t="s">
        <v>16</v>
      </c>
      <c r="E34" s="16" t="s">
        <v>26</v>
      </c>
      <c r="F34" s="16" t="s">
        <v>19</v>
      </c>
      <c r="G34" s="16" t="n">
        <v>1</v>
      </c>
      <c r="H34" s="17" t="n">
        <v>46216.7645833333</v>
      </c>
      <c r="I34" s="17" t="n">
        <v>46216.8597222222</v>
      </c>
      <c r="J34" s="18" t="n">
        <v>2.3</v>
      </c>
      <c r="K34" s="16" t="n">
        <v>4</v>
      </c>
      <c r="L34" s="16" t="s">
        <v>62</v>
      </c>
    </row>
    <row r="35" customFormat="false" ht="15" hidden="false" customHeight="false" outlineLevel="0" collapsed="false">
      <c r="A35" s="16" t="n">
        <v>34</v>
      </c>
      <c r="B35" s="16" t="s">
        <v>35</v>
      </c>
      <c r="C35" s="16" t="s">
        <v>61</v>
      </c>
      <c r="D35" s="16" t="s">
        <v>14</v>
      </c>
      <c r="E35" s="16" t="s">
        <v>27</v>
      </c>
      <c r="F35" s="16" t="s">
        <v>19</v>
      </c>
      <c r="G35" s="16" t="n">
        <v>1</v>
      </c>
      <c r="H35" s="17" t="n">
        <v>46240.3868055556</v>
      </c>
      <c r="I35" s="17" t="n">
        <v>46241.7305555556</v>
      </c>
      <c r="J35" s="18" t="n">
        <v>32.3</v>
      </c>
      <c r="K35" s="16" t="n">
        <v>24</v>
      </c>
      <c r="L35" s="16" t="s">
        <v>64</v>
      </c>
    </row>
    <row r="36" customFormat="false" ht="15" hidden="false" customHeight="false" outlineLevel="0" collapsed="false">
      <c r="A36" s="16" t="n">
        <v>35</v>
      </c>
      <c r="B36" s="16" t="s">
        <v>48</v>
      </c>
      <c r="C36" s="16" t="s">
        <v>63</v>
      </c>
      <c r="D36" s="16" t="s">
        <v>21</v>
      </c>
      <c r="E36" s="16" t="s">
        <v>27</v>
      </c>
      <c r="F36" s="16" t="s">
        <v>17</v>
      </c>
      <c r="G36" s="16" t="n">
        <v>2</v>
      </c>
      <c r="H36" s="17" t="n">
        <v>46275.5805555556</v>
      </c>
      <c r="I36" s="17"/>
      <c r="J36" s="18"/>
      <c r="K36" s="16" t="n">
        <v>24</v>
      </c>
      <c r="L36" s="16" t="s">
        <v>64</v>
      </c>
    </row>
    <row r="37" customFormat="false" ht="15" hidden="false" customHeight="false" outlineLevel="0" collapsed="false">
      <c r="A37" s="16" t="n">
        <v>36</v>
      </c>
      <c r="B37" s="16" t="s">
        <v>38</v>
      </c>
      <c r="C37" s="16" t="s">
        <v>61</v>
      </c>
      <c r="D37" s="16" t="s">
        <v>16</v>
      </c>
      <c r="E37" s="16" t="s">
        <v>28</v>
      </c>
      <c r="F37" s="16" t="s">
        <v>19</v>
      </c>
      <c r="G37" s="16" t="n">
        <v>1</v>
      </c>
      <c r="H37" s="17" t="n">
        <v>46288.3763888889</v>
      </c>
      <c r="I37" s="17" t="n">
        <v>46291.98125</v>
      </c>
      <c r="J37" s="18" t="n">
        <v>86.5</v>
      </c>
      <c r="K37" s="16" t="n">
        <v>72</v>
      </c>
      <c r="L37" s="16" t="s">
        <v>64</v>
      </c>
    </row>
    <row r="38" customFormat="false" ht="15" hidden="false" customHeight="false" outlineLevel="0" collapsed="false">
      <c r="A38" s="16" t="n">
        <v>37</v>
      </c>
      <c r="B38" s="16" t="s">
        <v>43</v>
      </c>
      <c r="C38" s="16" t="s">
        <v>61</v>
      </c>
      <c r="D38" s="16" t="s">
        <v>20</v>
      </c>
      <c r="E38" s="16" t="s">
        <v>28</v>
      </c>
      <c r="F38" s="16" t="s">
        <v>19</v>
      </c>
      <c r="G38" s="16" t="n">
        <v>1</v>
      </c>
      <c r="H38" s="17" t="n">
        <v>46228.0729166667</v>
      </c>
      <c r="I38" s="17" t="n">
        <v>46231.25625</v>
      </c>
      <c r="J38" s="18" t="n">
        <v>76.4</v>
      </c>
      <c r="K38" s="16" t="n">
        <v>72</v>
      </c>
      <c r="L38" s="16" t="s">
        <v>64</v>
      </c>
    </row>
    <row r="39" customFormat="false" ht="15" hidden="false" customHeight="false" outlineLevel="0" collapsed="false">
      <c r="A39" s="16" t="n">
        <v>38</v>
      </c>
      <c r="B39" s="16" t="s">
        <v>44</v>
      </c>
      <c r="C39" s="16" t="s">
        <v>61</v>
      </c>
      <c r="D39" s="16" t="s">
        <v>20</v>
      </c>
      <c r="E39" s="16" t="s">
        <v>27</v>
      </c>
      <c r="F39" s="16" t="s">
        <v>19</v>
      </c>
      <c r="G39" s="16" t="n">
        <v>1</v>
      </c>
      <c r="H39" s="17" t="n">
        <v>46289.0333333333</v>
      </c>
      <c r="I39" s="17" t="n">
        <v>46289.7319444444</v>
      </c>
      <c r="J39" s="18" t="n">
        <v>16.8</v>
      </c>
      <c r="K39" s="16" t="n">
        <v>24</v>
      </c>
      <c r="L39" s="16" t="s">
        <v>62</v>
      </c>
    </row>
    <row r="40" customFormat="false" ht="15" hidden="false" customHeight="false" outlineLevel="0" collapsed="false">
      <c r="A40" s="16" t="n">
        <v>39</v>
      </c>
      <c r="B40" s="16" t="s">
        <v>47</v>
      </c>
      <c r="C40" s="16" t="s">
        <v>63</v>
      </c>
      <c r="D40" s="16" t="s">
        <v>21</v>
      </c>
      <c r="E40" s="16" t="s">
        <v>28</v>
      </c>
      <c r="F40" s="16" t="s">
        <v>19</v>
      </c>
      <c r="G40" s="16" t="n">
        <v>1</v>
      </c>
      <c r="H40" s="17" t="n">
        <v>46230.9395833333</v>
      </c>
      <c r="I40" s="17" t="n">
        <v>46231.2416666667</v>
      </c>
      <c r="J40" s="18" t="n">
        <v>7.3</v>
      </c>
      <c r="K40" s="16" t="n">
        <v>72</v>
      </c>
      <c r="L40" s="16" t="s">
        <v>62</v>
      </c>
    </row>
    <row r="41" customFormat="false" ht="15" hidden="false" customHeight="false" outlineLevel="0" collapsed="false">
      <c r="A41" s="16" t="n">
        <v>40</v>
      </c>
      <c r="B41" s="16" t="s">
        <v>33</v>
      </c>
      <c r="C41" s="16" t="s">
        <v>61</v>
      </c>
      <c r="D41" s="16" t="s">
        <v>14</v>
      </c>
      <c r="E41" s="16" t="s">
        <v>26</v>
      </c>
      <c r="F41" s="16" t="s">
        <v>19</v>
      </c>
      <c r="G41" s="16" t="n">
        <v>2</v>
      </c>
      <c r="H41" s="17" t="n">
        <v>46220.7770833333</v>
      </c>
      <c r="I41" s="17" t="n">
        <v>46220.8055555556</v>
      </c>
      <c r="J41" s="18" t="n">
        <v>0.7</v>
      </c>
      <c r="K41" s="16" t="n">
        <v>4</v>
      </c>
      <c r="L41" s="16" t="s">
        <v>62</v>
      </c>
    </row>
    <row r="42" customFormat="false" ht="15" hidden="false" customHeight="false" outlineLevel="0" collapsed="false">
      <c r="A42" s="16" t="n">
        <v>41</v>
      </c>
      <c r="B42" s="16" t="s">
        <v>33</v>
      </c>
      <c r="C42" s="16" t="s">
        <v>61</v>
      </c>
      <c r="D42" s="16" t="s">
        <v>14</v>
      </c>
      <c r="E42" s="16" t="s">
        <v>28</v>
      </c>
      <c r="F42" s="16" t="s">
        <v>15</v>
      </c>
      <c r="G42" s="16" t="n">
        <v>1</v>
      </c>
      <c r="H42" s="17" t="n">
        <v>46269.1111111111</v>
      </c>
      <c r="I42" s="17"/>
      <c r="J42" s="18"/>
      <c r="K42" s="16" t="n">
        <v>72</v>
      </c>
      <c r="L42" s="16" t="s">
        <v>64</v>
      </c>
    </row>
    <row r="43" customFormat="false" ht="15" hidden="false" customHeight="false" outlineLevel="0" collapsed="false">
      <c r="A43" s="16" t="n">
        <v>42</v>
      </c>
      <c r="B43" s="16" t="s">
        <v>37</v>
      </c>
      <c r="C43" s="16" t="s">
        <v>61</v>
      </c>
      <c r="D43" s="16" t="s">
        <v>16</v>
      </c>
      <c r="E43" s="16" t="s">
        <v>28</v>
      </c>
      <c r="F43" s="16" t="s">
        <v>19</v>
      </c>
      <c r="G43" s="16" t="n">
        <v>1</v>
      </c>
      <c r="H43" s="17" t="n">
        <v>46263.6555555556</v>
      </c>
      <c r="I43" s="17" t="n">
        <v>46266.9055555556</v>
      </c>
      <c r="J43" s="18" t="n">
        <v>78</v>
      </c>
      <c r="K43" s="16" t="n">
        <v>72</v>
      </c>
      <c r="L43" s="16" t="s">
        <v>64</v>
      </c>
    </row>
    <row r="44" customFormat="false" ht="15" hidden="false" customHeight="false" outlineLevel="0" collapsed="false">
      <c r="A44" s="16" t="n">
        <v>43</v>
      </c>
      <c r="B44" s="16" t="s">
        <v>40</v>
      </c>
      <c r="C44" s="16" t="s">
        <v>61</v>
      </c>
      <c r="D44" s="16" t="s">
        <v>18</v>
      </c>
      <c r="E44" s="16" t="s">
        <v>27</v>
      </c>
      <c r="F44" s="16" t="s">
        <v>19</v>
      </c>
      <c r="G44" s="16" t="n">
        <v>2</v>
      </c>
      <c r="H44" s="17" t="n">
        <v>46229.9284722222</v>
      </c>
      <c r="I44" s="17" t="n">
        <v>46231.8222222222</v>
      </c>
      <c r="J44" s="18" t="n">
        <v>45.4</v>
      </c>
      <c r="K44" s="16" t="n">
        <v>24</v>
      </c>
      <c r="L44" s="16" t="s">
        <v>64</v>
      </c>
    </row>
    <row r="45" customFormat="false" ht="15" hidden="false" customHeight="false" outlineLevel="0" collapsed="false">
      <c r="A45" s="16" t="n">
        <v>44</v>
      </c>
      <c r="B45" s="16" t="s">
        <v>36</v>
      </c>
      <c r="C45" s="16" t="s">
        <v>63</v>
      </c>
      <c r="D45" s="16" t="s">
        <v>14</v>
      </c>
      <c r="E45" s="16" t="s">
        <v>28</v>
      </c>
      <c r="F45" s="16" t="s">
        <v>19</v>
      </c>
      <c r="G45" s="16" t="n">
        <v>1</v>
      </c>
      <c r="H45" s="17" t="n">
        <v>46276.2763888889</v>
      </c>
      <c r="I45" s="17" t="n">
        <v>46280.3333333333</v>
      </c>
      <c r="J45" s="18" t="n">
        <v>97.4</v>
      </c>
      <c r="K45" s="16" t="n">
        <v>72</v>
      </c>
      <c r="L45" s="16" t="s">
        <v>64</v>
      </c>
    </row>
    <row r="46" customFormat="false" ht="15" hidden="false" customHeight="false" outlineLevel="0" collapsed="false">
      <c r="A46" s="16" t="n">
        <v>45</v>
      </c>
      <c r="B46" s="16" t="s">
        <v>34</v>
      </c>
      <c r="C46" s="16" t="s">
        <v>61</v>
      </c>
      <c r="D46" s="16" t="s">
        <v>14</v>
      </c>
      <c r="E46" s="16" t="s">
        <v>27</v>
      </c>
      <c r="F46" s="16" t="s">
        <v>19</v>
      </c>
      <c r="G46" s="16" t="n">
        <v>1</v>
      </c>
      <c r="H46" s="17" t="n">
        <v>46227.4416666667</v>
      </c>
      <c r="I46" s="17" t="n">
        <v>46227.8125</v>
      </c>
      <c r="J46" s="18" t="n">
        <v>8.9</v>
      </c>
      <c r="K46" s="16" t="n">
        <v>24</v>
      </c>
      <c r="L46" s="16" t="s">
        <v>62</v>
      </c>
    </row>
    <row r="47" customFormat="false" ht="15" hidden="false" customHeight="false" outlineLevel="0" collapsed="false">
      <c r="A47" s="16" t="n">
        <v>46</v>
      </c>
      <c r="B47" s="16" t="s">
        <v>33</v>
      </c>
      <c r="C47" s="16" t="s">
        <v>61</v>
      </c>
      <c r="D47" s="16" t="s">
        <v>14</v>
      </c>
      <c r="E47" s="16" t="s">
        <v>28</v>
      </c>
      <c r="F47" s="16" t="s">
        <v>19</v>
      </c>
      <c r="G47" s="16" t="n">
        <v>1</v>
      </c>
      <c r="H47" s="17" t="n">
        <v>46271.7291666667</v>
      </c>
      <c r="I47" s="17" t="n">
        <v>46275.2194444445</v>
      </c>
      <c r="J47" s="18" t="n">
        <v>83.8</v>
      </c>
      <c r="K47" s="16" t="n">
        <v>72</v>
      </c>
      <c r="L47" s="16" t="s">
        <v>64</v>
      </c>
    </row>
    <row r="48" customFormat="false" ht="15" hidden="false" customHeight="false" outlineLevel="0" collapsed="false">
      <c r="A48" s="16" t="n">
        <v>47</v>
      </c>
      <c r="B48" s="16" t="s">
        <v>35</v>
      </c>
      <c r="C48" s="16" t="s">
        <v>61</v>
      </c>
      <c r="D48" s="16" t="s">
        <v>14</v>
      </c>
      <c r="E48" s="16" t="s">
        <v>28</v>
      </c>
      <c r="F48" s="16" t="s">
        <v>19</v>
      </c>
      <c r="G48" s="16" t="n">
        <v>1</v>
      </c>
      <c r="H48" s="17" t="n">
        <v>46230.5027777778</v>
      </c>
      <c r="I48" s="17" t="n">
        <v>46231.8465277778</v>
      </c>
      <c r="J48" s="18" t="n">
        <v>32.3</v>
      </c>
      <c r="K48" s="16" t="n">
        <v>72</v>
      </c>
      <c r="L48" s="16" t="s">
        <v>62</v>
      </c>
    </row>
    <row r="49" customFormat="false" ht="15" hidden="false" customHeight="false" outlineLevel="0" collapsed="false">
      <c r="A49" s="16" t="n">
        <v>48</v>
      </c>
      <c r="B49" s="16" t="s">
        <v>43</v>
      </c>
      <c r="C49" s="16" t="s">
        <v>61</v>
      </c>
      <c r="D49" s="16" t="s">
        <v>20</v>
      </c>
      <c r="E49" s="16" t="s">
        <v>27</v>
      </c>
      <c r="F49" s="16" t="s">
        <v>19</v>
      </c>
      <c r="G49" s="16" t="n">
        <v>1</v>
      </c>
      <c r="H49" s="17" t="n">
        <v>46287.7791666667</v>
      </c>
      <c r="I49" s="17" t="n">
        <v>46288.0152777778</v>
      </c>
      <c r="J49" s="18" t="n">
        <v>5.7</v>
      </c>
      <c r="K49" s="16" t="n">
        <v>24</v>
      </c>
      <c r="L49" s="16" t="s">
        <v>62</v>
      </c>
    </row>
    <row r="50" customFormat="false" ht="15" hidden="false" customHeight="false" outlineLevel="0" collapsed="false">
      <c r="A50" s="16" t="n">
        <v>49</v>
      </c>
      <c r="B50" s="16" t="s">
        <v>41</v>
      </c>
      <c r="C50" s="16" t="s">
        <v>61</v>
      </c>
      <c r="D50" s="16" t="s">
        <v>18</v>
      </c>
      <c r="E50" s="16" t="s">
        <v>26</v>
      </c>
      <c r="F50" s="16" t="s">
        <v>19</v>
      </c>
      <c r="G50" s="16" t="n">
        <v>2</v>
      </c>
      <c r="H50" s="17" t="n">
        <v>46286.1270833333</v>
      </c>
      <c r="I50" s="17" t="n">
        <v>46286.3895833333</v>
      </c>
      <c r="J50" s="18" t="n">
        <v>6.3</v>
      </c>
      <c r="K50" s="16" t="n">
        <v>4</v>
      </c>
      <c r="L50" s="16" t="s">
        <v>64</v>
      </c>
    </row>
    <row r="51" customFormat="false" ht="15" hidden="false" customHeight="false" outlineLevel="0" collapsed="false">
      <c r="A51" s="16" t="n">
        <v>50</v>
      </c>
      <c r="B51" s="16" t="s">
        <v>39</v>
      </c>
      <c r="C51" s="16" t="s">
        <v>61</v>
      </c>
      <c r="D51" s="16" t="s">
        <v>16</v>
      </c>
      <c r="E51" s="16" t="s">
        <v>27</v>
      </c>
      <c r="F51" s="16" t="s">
        <v>19</v>
      </c>
      <c r="G51" s="16" t="n">
        <v>1</v>
      </c>
      <c r="H51" s="17" t="n">
        <v>46236.8618055556</v>
      </c>
      <c r="I51" s="17" t="n">
        <v>46236.9111111111</v>
      </c>
      <c r="J51" s="18" t="n">
        <v>1.2</v>
      </c>
      <c r="K51" s="16" t="n">
        <v>24</v>
      </c>
      <c r="L51" s="16" t="s">
        <v>62</v>
      </c>
    </row>
    <row r="52" customFormat="false" ht="15" hidden="false" customHeight="false" outlineLevel="0" collapsed="false">
      <c r="A52" s="16" t="n">
        <v>51</v>
      </c>
      <c r="B52" s="16" t="s">
        <v>48</v>
      </c>
      <c r="C52" s="16" t="s">
        <v>63</v>
      </c>
      <c r="D52" s="16" t="s">
        <v>21</v>
      </c>
      <c r="E52" s="16" t="s">
        <v>27</v>
      </c>
      <c r="F52" s="16" t="s">
        <v>19</v>
      </c>
      <c r="G52" s="16" t="n">
        <v>1</v>
      </c>
      <c r="H52" s="17" t="n">
        <v>46284.1722222222</v>
      </c>
      <c r="I52" s="17" t="n">
        <v>46285.5145833333</v>
      </c>
      <c r="J52" s="18" t="n">
        <v>32.2</v>
      </c>
      <c r="K52" s="16" t="n">
        <v>24</v>
      </c>
      <c r="L52" s="16" t="s">
        <v>64</v>
      </c>
    </row>
    <row r="53" customFormat="false" ht="15" hidden="false" customHeight="false" outlineLevel="0" collapsed="false">
      <c r="A53" s="16" t="n">
        <v>52</v>
      </c>
      <c r="B53" s="16" t="s">
        <v>38</v>
      </c>
      <c r="C53" s="16" t="s">
        <v>61</v>
      </c>
      <c r="D53" s="16" t="s">
        <v>16</v>
      </c>
      <c r="E53" s="16" t="s">
        <v>27</v>
      </c>
      <c r="F53" s="16" t="s">
        <v>19</v>
      </c>
      <c r="G53" s="16" t="n">
        <v>1</v>
      </c>
      <c r="H53" s="17" t="n">
        <v>46280.0645833333</v>
      </c>
      <c r="I53" s="17" t="n">
        <v>46280.2222222222</v>
      </c>
      <c r="J53" s="18" t="n">
        <v>3.8</v>
      </c>
      <c r="K53" s="16" t="n">
        <v>24</v>
      </c>
      <c r="L53" s="16" t="s">
        <v>62</v>
      </c>
    </row>
    <row r="54" customFormat="false" ht="15" hidden="false" customHeight="false" outlineLevel="0" collapsed="false">
      <c r="A54" s="16" t="n">
        <v>53</v>
      </c>
      <c r="B54" s="16" t="s">
        <v>41</v>
      </c>
      <c r="C54" s="16" t="s">
        <v>61</v>
      </c>
      <c r="D54" s="16" t="s">
        <v>18</v>
      </c>
      <c r="E54" s="16" t="s">
        <v>26</v>
      </c>
      <c r="F54" s="16" t="s">
        <v>19</v>
      </c>
      <c r="G54" s="16" t="n">
        <v>2</v>
      </c>
      <c r="H54" s="17" t="n">
        <v>46257.9152777778</v>
      </c>
      <c r="I54" s="17" t="n">
        <v>46257.9840277778</v>
      </c>
      <c r="J54" s="18" t="n">
        <v>1.7</v>
      </c>
      <c r="K54" s="16" t="n">
        <v>4</v>
      </c>
      <c r="L54" s="16" t="s">
        <v>62</v>
      </c>
    </row>
    <row r="55" customFormat="false" ht="15" hidden="false" customHeight="false" outlineLevel="0" collapsed="false">
      <c r="A55" s="16" t="n">
        <v>54</v>
      </c>
      <c r="B55" s="16" t="s">
        <v>47</v>
      </c>
      <c r="C55" s="16" t="s">
        <v>63</v>
      </c>
      <c r="D55" s="16" t="s">
        <v>21</v>
      </c>
      <c r="E55" s="16" t="s">
        <v>27</v>
      </c>
      <c r="F55" s="16" t="s">
        <v>19</v>
      </c>
      <c r="G55" s="16" t="n">
        <v>1</v>
      </c>
      <c r="H55" s="17" t="n">
        <v>46229.9465277778</v>
      </c>
      <c r="I55" s="17" t="n">
        <v>46230.6993055556</v>
      </c>
      <c r="J55" s="18" t="n">
        <v>18.1</v>
      </c>
      <c r="K55" s="16" t="n">
        <v>24</v>
      </c>
      <c r="L55" s="16" t="s">
        <v>62</v>
      </c>
    </row>
    <row r="56" customFormat="false" ht="15" hidden="false" customHeight="false" outlineLevel="0" collapsed="false">
      <c r="A56" s="16" t="n">
        <v>55</v>
      </c>
      <c r="B56" s="16" t="s">
        <v>38</v>
      </c>
      <c r="C56" s="16" t="s">
        <v>61</v>
      </c>
      <c r="D56" s="16" t="s">
        <v>16</v>
      </c>
      <c r="E56" s="16" t="s">
        <v>27</v>
      </c>
      <c r="F56" s="16" t="s">
        <v>19</v>
      </c>
      <c r="G56" s="16" t="n">
        <v>2</v>
      </c>
      <c r="H56" s="17" t="n">
        <v>46263.50625</v>
      </c>
      <c r="I56" s="17" t="n">
        <v>46264.5715277778</v>
      </c>
      <c r="J56" s="18" t="n">
        <v>25.6</v>
      </c>
      <c r="K56" s="16" t="n">
        <v>24</v>
      </c>
      <c r="L56" s="16" t="s">
        <v>64</v>
      </c>
    </row>
    <row r="57" customFormat="false" ht="15" hidden="false" customHeight="false" outlineLevel="0" collapsed="false">
      <c r="A57" s="16" t="n">
        <v>56</v>
      </c>
      <c r="B57" s="16" t="s">
        <v>41</v>
      </c>
      <c r="C57" s="16" t="s">
        <v>61</v>
      </c>
      <c r="D57" s="16" t="s">
        <v>18</v>
      </c>
      <c r="E57" s="16" t="s">
        <v>27</v>
      </c>
      <c r="F57" s="16" t="s">
        <v>19</v>
      </c>
      <c r="G57" s="16" t="n">
        <v>1</v>
      </c>
      <c r="H57" s="17" t="n">
        <v>46205.6583333333</v>
      </c>
      <c r="I57" s="17" t="n">
        <v>46206.5805555556</v>
      </c>
      <c r="J57" s="18" t="n">
        <v>22.1</v>
      </c>
      <c r="K57" s="16" t="n">
        <v>24</v>
      </c>
      <c r="L57" s="16" t="s">
        <v>62</v>
      </c>
    </row>
    <row r="58" customFormat="false" ht="15" hidden="false" customHeight="false" outlineLevel="0" collapsed="false">
      <c r="A58" s="16" t="n">
        <v>57</v>
      </c>
      <c r="B58" s="16" t="s">
        <v>45</v>
      </c>
      <c r="C58" s="16" t="s">
        <v>61</v>
      </c>
      <c r="D58" s="16" t="s">
        <v>20</v>
      </c>
      <c r="E58" s="16" t="s">
        <v>27</v>
      </c>
      <c r="F58" s="16" t="s">
        <v>19</v>
      </c>
      <c r="G58" s="16" t="n">
        <v>2</v>
      </c>
      <c r="H58" s="17" t="n">
        <v>46212.80625</v>
      </c>
      <c r="I58" s="17" t="n">
        <v>46213.3520833333</v>
      </c>
      <c r="J58" s="18" t="n">
        <v>13.1</v>
      </c>
      <c r="K58" s="16" t="n">
        <v>24</v>
      </c>
      <c r="L58" s="16" t="s">
        <v>62</v>
      </c>
    </row>
    <row r="59" customFormat="false" ht="15" hidden="false" customHeight="false" outlineLevel="0" collapsed="false">
      <c r="A59" s="16" t="n">
        <v>58</v>
      </c>
      <c r="B59" s="16" t="s">
        <v>37</v>
      </c>
      <c r="C59" s="16" t="s">
        <v>61</v>
      </c>
      <c r="D59" s="16" t="s">
        <v>16</v>
      </c>
      <c r="E59" s="16" t="s">
        <v>26</v>
      </c>
      <c r="F59" s="16" t="s">
        <v>19</v>
      </c>
      <c r="G59" s="16" t="n">
        <v>1</v>
      </c>
      <c r="H59" s="17" t="n">
        <v>46236.80625</v>
      </c>
      <c r="I59" s="17" t="n">
        <v>46236.9479166667</v>
      </c>
      <c r="J59" s="18" t="n">
        <v>3.4</v>
      </c>
      <c r="K59" s="16" t="n">
        <v>4</v>
      </c>
      <c r="L59" s="16" t="s">
        <v>62</v>
      </c>
    </row>
    <row r="60" customFormat="false" ht="15" hidden="false" customHeight="false" outlineLevel="0" collapsed="false">
      <c r="A60" s="16" t="n">
        <v>59</v>
      </c>
      <c r="B60" s="16" t="s">
        <v>47</v>
      </c>
      <c r="C60" s="16" t="s">
        <v>63</v>
      </c>
      <c r="D60" s="16" t="s">
        <v>21</v>
      </c>
      <c r="E60" s="16" t="s">
        <v>27</v>
      </c>
      <c r="F60" s="16" t="s">
        <v>19</v>
      </c>
      <c r="G60" s="16" t="n">
        <v>1</v>
      </c>
      <c r="H60" s="17" t="n">
        <v>46272.0159722222</v>
      </c>
      <c r="I60" s="17" t="n">
        <v>46272.6284722222</v>
      </c>
      <c r="J60" s="18" t="n">
        <v>14.7</v>
      </c>
      <c r="K60" s="16" t="n">
        <v>24</v>
      </c>
      <c r="L60" s="16" t="s">
        <v>62</v>
      </c>
    </row>
    <row r="61" customFormat="false" ht="15" hidden="false" customHeight="false" outlineLevel="0" collapsed="false">
      <c r="A61" s="16" t="n">
        <v>60</v>
      </c>
      <c r="B61" s="16" t="s">
        <v>45</v>
      </c>
      <c r="C61" s="16" t="s">
        <v>61</v>
      </c>
      <c r="D61" s="16" t="s">
        <v>20</v>
      </c>
      <c r="E61" s="16" t="s">
        <v>27</v>
      </c>
      <c r="F61" s="16" t="s">
        <v>19</v>
      </c>
      <c r="G61" s="16" t="n">
        <v>2</v>
      </c>
      <c r="H61" s="17" t="n">
        <v>46240.3125</v>
      </c>
      <c r="I61" s="17" t="n">
        <v>46241.0944444445</v>
      </c>
      <c r="J61" s="18" t="n">
        <v>18.8</v>
      </c>
      <c r="K61" s="16" t="n">
        <v>24</v>
      </c>
      <c r="L61" s="16" t="s">
        <v>62</v>
      </c>
    </row>
    <row r="62" customFormat="false" ht="15" hidden="false" customHeight="false" outlineLevel="0" collapsed="false">
      <c r="A62" s="16" t="n">
        <v>61</v>
      </c>
      <c r="B62" s="16" t="s">
        <v>46</v>
      </c>
      <c r="C62" s="16" t="s">
        <v>63</v>
      </c>
      <c r="D62" s="16" t="s">
        <v>21</v>
      </c>
      <c r="E62" s="16" t="s">
        <v>27</v>
      </c>
      <c r="F62" s="16" t="s">
        <v>19</v>
      </c>
      <c r="G62" s="16" t="n">
        <v>2</v>
      </c>
      <c r="H62" s="17" t="n">
        <v>46275.8645833333</v>
      </c>
      <c r="I62" s="17" t="n">
        <v>46276.9708333333</v>
      </c>
      <c r="J62" s="18" t="n">
        <v>26.6</v>
      </c>
      <c r="K62" s="16" t="n">
        <v>24</v>
      </c>
      <c r="L62" s="16" t="s">
        <v>64</v>
      </c>
    </row>
    <row r="63" customFormat="false" ht="15" hidden="false" customHeight="false" outlineLevel="0" collapsed="false">
      <c r="A63" s="16" t="n">
        <v>62</v>
      </c>
      <c r="B63" s="16" t="s">
        <v>48</v>
      </c>
      <c r="C63" s="16" t="s">
        <v>63</v>
      </c>
      <c r="D63" s="16" t="s">
        <v>21</v>
      </c>
      <c r="E63" s="16" t="s">
        <v>28</v>
      </c>
      <c r="F63" s="16" t="s">
        <v>19</v>
      </c>
      <c r="G63" s="16" t="n">
        <v>1</v>
      </c>
      <c r="H63" s="17" t="n">
        <v>46208.4305555556</v>
      </c>
      <c r="I63" s="17" t="n">
        <v>46208.6604166667</v>
      </c>
      <c r="J63" s="18" t="n">
        <v>5.5</v>
      </c>
      <c r="K63" s="16" t="n">
        <v>72</v>
      </c>
      <c r="L63" s="16" t="s">
        <v>62</v>
      </c>
    </row>
    <row r="64" customFormat="false" ht="15" hidden="false" customHeight="false" outlineLevel="0" collapsed="false">
      <c r="A64" s="16" t="n">
        <v>63</v>
      </c>
      <c r="B64" s="16" t="s">
        <v>47</v>
      </c>
      <c r="C64" s="16" t="s">
        <v>63</v>
      </c>
      <c r="D64" s="16" t="s">
        <v>21</v>
      </c>
      <c r="E64" s="16" t="s">
        <v>26</v>
      </c>
      <c r="F64" s="16" t="s">
        <v>19</v>
      </c>
      <c r="G64" s="16" t="n">
        <v>1</v>
      </c>
      <c r="H64" s="17" t="n">
        <v>46278.5597222222</v>
      </c>
      <c r="I64" s="17" t="n">
        <v>46278.7791666667</v>
      </c>
      <c r="J64" s="18" t="n">
        <v>5.3</v>
      </c>
      <c r="K64" s="16" t="n">
        <v>4</v>
      </c>
      <c r="L64" s="16" t="s">
        <v>64</v>
      </c>
    </row>
    <row r="65" customFormat="false" ht="15" hidden="false" customHeight="false" outlineLevel="0" collapsed="false">
      <c r="A65" s="16" t="n">
        <v>64</v>
      </c>
      <c r="B65" s="16" t="s">
        <v>35</v>
      </c>
      <c r="C65" s="16" t="s">
        <v>61</v>
      </c>
      <c r="D65" s="16" t="s">
        <v>14</v>
      </c>
      <c r="E65" s="16" t="s">
        <v>27</v>
      </c>
      <c r="F65" s="16" t="s">
        <v>19</v>
      </c>
      <c r="G65" s="16" t="n">
        <v>1</v>
      </c>
      <c r="H65" s="17" t="n">
        <v>46262.5368055556</v>
      </c>
      <c r="I65" s="17" t="n">
        <v>46263.4430555556</v>
      </c>
      <c r="J65" s="18" t="n">
        <v>21.8</v>
      </c>
      <c r="K65" s="16" t="n">
        <v>24</v>
      </c>
      <c r="L65" s="16" t="s">
        <v>62</v>
      </c>
    </row>
    <row r="66" customFormat="false" ht="15" hidden="false" customHeight="false" outlineLevel="0" collapsed="false">
      <c r="A66" s="16" t="n">
        <v>65</v>
      </c>
      <c r="B66" s="16" t="s">
        <v>44</v>
      </c>
      <c r="C66" s="16" t="s">
        <v>61</v>
      </c>
      <c r="D66" s="16" t="s">
        <v>20</v>
      </c>
      <c r="E66" s="16" t="s">
        <v>27</v>
      </c>
      <c r="F66" s="16" t="s">
        <v>19</v>
      </c>
      <c r="G66" s="16" t="n">
        <v>2</v>
      </c>
      <c r="H66" s="17" t="n">
        <v>46249.1861111111</v>
      </c>
      <c r="I66" s="17" t="n">
        <v>46251.0916666667</v>
      </c>
      <c r="J66" s="18" t="n">
        <v>45.7</v>
      </c>
      <c r="K66" s="16" t="n">
        <v>24</v>
      </c>
      <c r="L66" s="16" t="s">
        <v>64</v>
      </c>
    </row>
    <row r="67" customFormat="false" ht="15" hidden="false" customHeight="false" outlineLevel="0" collapsed="false">
      <c r="A67" s="16" t="n">
        <v>66</v>
      </c>
      <c r="B67" s="16" t="s">
        <v>43</v>
      </c>
      <c r="C67" s="16" t="s">
        <v>61</v>
      </c>
      <c r="D67" s="16" t="s">
        <v>20</v>
      </c>
      <c r="E67" s="16" t="s">
        <v>27</v>
      </c>
      <c r="F67" s="16" t="s">
        <v>19</v>
      </c>
      <c r="G67" s="16" t="n">
        <v>2</v>
      </c>
      <c r="H67" s="17" t="n">
        <v>46218.95</v>
      </c>
      <c r="I67" s="17" t="n">
        <v>46220.9034722222</v>
      </c>
      <c r="J67" s="18" t="n">
        <v>46.9</v>
      </c>
      <c r="K67" s="16" t="n">
        <v>24</v>
      </c>
      <c r="L67" s="16" t="s">
        <v>64</v>
      </c>
    </row>
    <row r="68" customFormat="false" ht="15" hidden="false" customHeight="false" outlineLevel="0" collapsed="false">
      <c r="A68" s="16" t="n">
        <v>67</v>
      </c>
      <c r="B68" s="16" t="s">
        <v>47</v>
      </c>
      <c r="C68" s="16" t="s">
        <v>63</v>
      </c>
      <c r="D68" s="16" t="s">
        <v>21</v>
      </c>
      <c r="E68" s="16" t="s">
        <v>27</v>
      </c>
      <c r="F68" s="16" t="s">
        <v>19</v>
      </c>
      <c r="G68" s="16" t="n">
        <v>2</v>
      </c>
      <c r="H68" s="17" t="n">
        <v>46273.5944444445</v>
      </c>
      <c r="I68" s="17" t="n">
        <v>46275.2486111111</v>
      </c>
      <c r="J68" s="18" t="n">
        <v>39.7</v>
      </c>
      <c r="K68" s="16" t="n">
        <v>24</v>
      </c>
      <c r="L68" s="16" t="s">
        <v>64</v>
      </c>
    </row>
    <row r="69" customFormat="false" ht="15" hidden="false" customHeight="false" outlineLevel="0" collapsed="false">
      <c r="A69" s="16" t="n">
        <v>68</v>
      </c>
      <c r="B69" s="16" t="s">
        <v>39</v>
      </c>
      <c r="C69" s="16" t="s">
        <v>61</v>
      </c>
      <c r="D69" s="16" t="s">
        <v>16</v>
      </c>
      <c r="E69" s="16" t="s">
        <v>27</v>
      </c>
      <c r="F69" s="16" t="s">
        <v>19</v>
      </c>
      <c r="G69" s="16" t="n">
        <v>1</v>
      </c>
      <c r="H69" s="17" t="n">
        <v>46205.7319444444</v>
      </c>
      <c r="I69" s="17" t="n">
        <v>46206.1423611111</v>
      </c>
      <c r="J69" s="18" t="n">
        <v>9.9</v>
      </c>
      <c r="K69" s="16" t="n">
        <v>24</v>
      </c>
      <c r="L69" s="16" t="s">
        <v>62</v>
      </c>
    </row>
    <row r="70" customFormat="false" ht="15" hidden="false" customHeight="false" outlineLevel="0" collapsed="false">
      <c r="A70" s="16" t="n">
        <v>69</v>
      </c>
      <c r="B70" s="16" t="s">
        <v>45</v>
      </c>
      <c r="C70" s="16" t="s">
        <v>61</v>
      </c>
      <c r="D70" s="16" t="s">
        <v>20</v>
      </c>
      <c r="E70" s="16" t="s">
        <v>28</v>
      </c>
      <c r="F70" s="16" t="s">
        <v>19</v>
      </c>
      <c r="G70" s="16" t="n">
        <v>1</v>
      </c>
      <c r="H70" s="17" t="n">
        <v>46283.4215277778</v>
      </c>
      <c r="I70" s="17" t="n">
        <v>46284.4652777778</v>
      </c>
      <c r="J70" s="18" t="n">
        <v>25.1</v>
      </c>
      <c r="K70" s="16" t="n">
        <v>72</v>
      </c>
      <c r="L70" s="16" t="s">
        <v>62</v>
      </c>
    </row>
    <row r="71" customFormat="false" ht="15" hidden="false" customHeight="false" outlineLevel="0" collapsed="false">
      <c r="A71" s="16" t="n">
        <v>70</v>
      </c>
      <c r="B71" s="16" t="s">
        <v>45</v>
      </c>
      <c r="C71" s="16" t="s">
        <v>61</v>
      </c>
      <c r="D71" s="16" t="s">
        <v>20</v>
      </c>
      <c r="E71" s="16" t="s">
        <v>26</v>
      </c>
      <c r="F71" s="16" t="s">
        <v>19</v>
      </c>
      <c r="G71" s="16" t="n">
        <v>1</v>
      </c>
      <c r="H71" s="17" t="n">
        <v>46269.3618055556</v>
      </c>
      <c r="I71" s="17" t="n">
        <v>46269.5861111111</v>
      </c>
      <c r="J71" s="18" t="n">
        <v>5.4</v>
      </c>
      <c r="K71" s="16" t="n">
        <v>4</v>
      </c>
      <c r="L71" s="16" t="s">
        <v>64</v>
      </c>
    </row>
    <row r="72" customFormat="false" ht="15" hidden="false" customHeight="false" outlineLevel="0" collapsed="false">
      <c r="A72" s="16" t="n">
        <v>71</v>
      </c>
      <c r="B72" s="16" t="s">
        <v>45</v>
      </c>
      <c r="C72" s="16" t="s">
        <v>61</v>
      </c>
      <c r="D72" s="16" t="s">
        <v>20</v>
      </c>
      <c r="E72" s="16" t="s">
        <v>27</v>
      </c>
      <c r="F72" s="16" t="s">
        <v>19</v>
      </c>
      <c r="G72" s="16" t="n">
        <v>1</v>
      </c>
      <c r="H72" s="17" t="n">
        <v>46263.5284722222</v>
      </c>
      <c r="I72" s="17" t="n">
        <v>46263.9229166667</v>
      </c>
      <c r="J72" s="18" t="n">
        <v>9.5</v>
      </c>
      <c r="K72" s="16" t="n">
        <v>24</v>
      </c>
      <c r="L72" s="16" t="s">
        <v>62</v>
      </c>
    </row>
    <row r="73" customFormat="false" ht="15" hidden="false" customHeight="false" outlineLevel="0" collapsed="false">
      <c r="A73" s="16" t="n">
        <v>72</v>
      </c>
      <c r="B73" s="16" t="s">
        <v>44</v>
      </c>
      <c r="C73" s="16" t="s">
        <v>61</v>
      </c>
      <c r="D73" s="16" t="s">
        <v>20</v>
      </c>
      <c r="E73" s="16" t="s">
        <v>28</v>
      </c>
      <c r="F73" s="16" t="s">
        <v>19</v>
      </c>
      <c r="G73" s="16" t="n">
        <v>1</v>
      </c>
      <c r="H73" s="17" t="n">
        <v>46207.8465277778</v>
      </c>
      <c r="I73" s="17" t="n">
        <v>46208.6694444444</v>
      </c>
      <c r="J73" s="18" t="n">
        <v>19.8</v>
      </c>
      <c r="K73" s="16" t="n">
        <v>72</v>
      </c>
      <c r="L73" s="16" t="s">
        <v>62</v>
      </c>
    </row>
    <row r="74" customFormat="false" ht="15" hidden="false" customHeight="false" outlineLevel="0" collapsed="false">
      <c r="A74" s="16" t="n">
        <v>73</v>
      </c>
      <c r="B74" s="16" t="s">
        <v>45</v>
      </c>
      <c r="C74" s="16" t="s">
        <v>61</v>
      </c>
      <c r="D74" s="16" t="s">
        <v>20</v>
      </c>
      <c r="E74" s="16" t="s">
        <v>26</v>
      </c>
      <c r="F74" s="16" t="s">
        <v>19</v>
      </c>
      <c r="G74" s="16" t="n">
        <v>1</v>
      </c>
      <c r="H74" s="17" t="n">
        <v>46229.2291666667</v>
      </c>
      <c r="I74" s="17" t="n">
        <v>46229.2416666667</v>
      </c>
      <c r="J74" s="18" t="n">
        <v>0.3</v>
      </c>
      <c r="K74" s="16" t="n">
        <v>4</v>
      </c>
      <c r="L74" s="16" t="s">
        <v>62</v>
      </c>
    </row>
    <row r="75" customFormat="false" ht="15" hidden="false" customHeight="false" outlineLevel="0" collapsed="false">
      <c r="A75" s="16" t="n">
        <v>74</v>
      </c>
      <c r="B75" s="16" t="s">
        <v>34</v>
      </c>
      <c r="C75" s="16" t="s">
        <v>61</v>
      </c>
      <c r="D75" s="16" t="s">
        <v>14</v>
      </c>
      <c r="E75" s="16" t="s">
        <v>27</v>
      </c>
      <c r="F75" s="16" t="s">
        <v>19</v>
      </c>
      <c r="G75" s="16" t="n">
        <v>1</v>
      </c>
      <c r="H75" s="17" t="n">
        <v>46226.6076388889</v>
      </c>
      <c r="I75" s="17" t="n">
        <v>46227.9493055556</v>
      </c>
      <c r="J75" s="18" t="n">
        <v>32.2</v>
      </c>
      <c r="K75" s="16" t="n">
        <v>24</v>
      </c>
      <c r="L75" s="16" t="s">
        <v>64</v>
      </c>
    </row>
    <row r="76" customFormat="false" ht="15" hidden="false" customHeight="false" outlineLevel="0" collapsed="false">
      <c r="A76" s="16" t="n">
        <v>75</v>
      </c>
      <c r="B76" s="16" t="s">
        <v>47</v>
      </c>
      <c r="C76" s="16" t="s">
        <v>63</v>
      </c>
      <c r="D76" s="16" t="s">
        <v>21</v>
      </c>
      <c r="E76" s="16" t="s">
        <v>28</v>
      </c>
      <c r="F76" s="16" t="s">
        <v>19</v>
      </c>
      <c r="G76" s="16" t="n">
        <v>1</v>
      </c>
      <c r="H76" s="17" t="n">
        <v>46219.0305555556</v>
      </c>
      <c r="I76" s="17" t="n">
        <v>46220.2083333333</v>
      </c>
      <c r="J76" s="18" t="n">
        <v>28.3</v>
      </c>
      <c r="K76" s="16" t="n">
        <v>72</v>
      </c>
      <c r="L76" s="16" t="s">
        <v>62</v>
      </c>
    </row>
    <row r="77" customFormat="false" ht="15" hidden="false" customHeight="false" outlineLevel="0" collapsed="false">
      <c r="A77" s="16" t="n">
        <v>76</v>
      </c>
      <c r="B77" s="16" t="s">
        <v>46</v>
      </c>
      <c r="C77" s="16" t="s">
        <v>63</v>
      </c>
      <c r="D77" s="16" t="s">
        <v>21</v>
      </c>
      <c r="E77" s="16" t="s">
        <v>27</v>
      </c>
      <c r="F77" s="16" t="s">
        <v>19</v>
      </c>
      <c r="G77" s="16" t="n">
        <v>1</v>
      </c>
      <c r="H77" s="17" t="n">
        <v>46260.1895833333</v>
      </c>
      <c r="I77" s="17" t="n">
        <v>46261.5673611111</v>
      </c>
      <c r="J77" s="18" t="n">
        <v>33.1</v>
      </c>
      <c r="K77" s="16" t="n">
        <v>24</v>
      </c>
      <c r="L77" s="16" t="s">
        <v>64</v>
      </c>
    </row>
    <row r="78" customFormat="false" ht="15" hidden="false" customHeight="false" outlineLevel="0" collapsed="false">
      <c r="A78" s="16" t="n">
        <v>77</v>
      </c>
      <c r="B78" s="16" t="s">
        <v>47</v>
      </c>
      <c r="C78" s="16" t="s">
        <v>63</v>
      </c>
      <c r="D78" s="16" t="s">
        <v>21</v>
      </c>
      <c r="E78" s="16" t="s">
        <v>26</v>
      </c>
      <c r="F78" s="16" t="s">
        <v>19</v>
      </c>
      <c r="G78" s="16" t="n">
        <v>1</v>
      </c>
      <c r="H78" s="17" t="n">
        <v>46230.1479166667</v>
      </c>
      <c r="I78" s="17" t="n">
        <v>46230.2951388889</v>
      </c>
      <c r="J78" s="18" t="n">
        <v>3.5</v>
      </c>
      <c r="K78" s="16" t="n">
        <v>4</v>
      </c>
      <c r="L78" s="16" t="s">
        <v>62</v>
      </c>
    </row>
    <row r="79" customFormat="false" ht="15" hidden="false" customHeight="false" outlineLevel="0" collapsed="false">
      <c r="A79" s="16" t="n">
        <v>78</v>
      </c>
      <c r="B79" s="16" t="s">
        <v>43</v>
      </c>
      <c r="C79" s="16" t="s">
        <v>61</v>
      </c>
      <c r="D79" s="16" t="s">
        <v>20</v>
      </c>
      <c r="E79" s="16" t="s">
        <v>26</v>
      </c>
      <c r="F79" s="16" t="s">
        <v>19</v>
      </c>
      <c r="G79" s="16" t="n">
        <v>1</v>
      </c>
      <c r="H79" s="17" t="n">
        <v>46228.5916666667</v>
      </c>
      <c r="I79" s="17" t="n">
        <v>46228.7881944445</v>
      </c>
      <c r="J79" s="18" t="n">
        <v>4.7</v>
      </c>
      <c r="K79" s="16" t="n">
        <v>4</v>
      </c>
      <c r="L79" s="16" t="s">
        <v>64</v>
      </c>
    </row>
    <row r="80" customFormat="false" ht="15" hidden="false" customHeight="false" outlineLevel="0" collapsed="false">
      <c r="A80" s="16" t="n">
        <v>79</v>
      </c>
      <c r="B80" s="16" t="s">
        <v>40</v>
      </c>
      <c r="C80" s="16" t="s">
        <v>61</v>
      </c>
      <c r="D80" s="16" t="s">
        <v>18</v>
      </c>
      <c r="E80" s="16" t="s">
        <v>27</v>
      </c>
      <c r="F80" s="16" t="s">
        <v>19</v>
      </c>
      <c r="G80" s="16" t="n">
        <v>1</v>
      </c>
      <c r="H80" s="17" t="n">
        <v>46230.1631944445</v>
      </c>
      <c r="I80" s="17" t="n">
        <v>46231.4083333333</v>
      </c>
      <c r="J80" s="18" t="n">
        <v>29.9</v>
      </c>
      <c r="K80" s="16" t="n">
        <v>24</v>
      </c>
      <c r="L80" s="16" t="s">
        <v>64</v>
      </c>
    </row>
    <row r="81" customFormat="false" ht="15" hidden="false" customHeight="false" outlineLevel="0" collapsed="false">
      <c r="A81" s="16" t="n">
        <v>80</v>
      </c>
      <c r="B81" s="16" t="s">
        <v>46</v>
      </c>
      <c r="C81" s="16" t="s">
        <v>63</v>
      </c>
      <c r="D81" s="16" t="s">
        <v>21</v>
      </c>
      <c r="E81" s="16" t="s">
        <v>28</v>
      </c>
      <c r="F81" s="16" t="s">
        <v>19</v>
      </c>
      <c r="G81" s="16" t="n">
        <v>1</v>
      </c>
      <c r="H81" s="17" t="n">
        <v>46273.4201388889</v>
      </c>
      <c r="I81" s="17" t="n">
        <v>46273.6916666667</v>
      </c>
      <c r="J81" s="18" t="n">
        <v>6.5</v>
      </c>
      <c r="K81" s="16" t="n">
        <v>72</v>
      </c>
      <c r="L81" s="16" t="s">
        <v>62</v>
      </c>
    </row>
    <row r="82" customFormat="false" ht="15" hidden="false" customHeight="false" outlineLevel="0" collapsed="false">
      <c r="A82" s="16" t="n">
        <v>81</v>
      </c>
      <c r="B82" s="16" t="s">
        <v>39</v>
      </c>
      <c r="C82" s="16" t="s">
        <v>61</v>
      </c>
      <c r="D82" s="16" t="s">
        <v>16</v>
      </c>
      <c r="E82" s="16" t="s">
        <v>27</v>
      </c>
      <c r="F82" s="16" t="s">
        <v>19</v>
      </c>
      <c r="G82" s="16" t="n">
        <v>2</v>
      </c>
      <c r="H82" s="17" t="n">
        <v>46241.3034722222</v>
      </c>
      <c r="I82" s="17" t="n">
        <v>46242.2819444445</v>
      </c>
      <c r="J82" s="18" t="n">
        <v>23.5</v>
      </c>
      <c r="K82" s="16" t="n">
        <v>24</v>
      </c>
      <c r="L82" s="16" t="s">
        <v>62</v>
      </c>
    </row>
    <row r="83" customFormat="false" ht="15" hidden="false" customHeight="false" outlineLevel="0" collapsed="false">
      <c r="A83" s="16" t="n">
        <v>82</v>
      </c>
      <c r="B83" s="16" t="s">
        <v>45</v>
      </c>
      <c r="C83" s="16" t="s">
        <v>61</v>
      </c>
      <c r="D83" s="16" t="s">
        <v>20</v>
      </c>
      <c r="E83" s="16" t="s">
        <v>28</v>
      </c>
      <c r="F83" s="16" t="s">
        <v>19</v>
      </c>
      <c r="G83" s="16" t="n">
        <v>1</v>
      </c>
      <c r="H83" s="17" t="n">
        <v>46235.0027777778</v>
      </c>
      <c r="I83" s="17" t="n">
        <v>46235.1597222222</v>
      </c>
      <c r="J83" s="18" t="n">
        <v>3.8</v>
      </c>
      <c r="K83" s="16" t="n">
        <v>72</v>
      </c>
      <c r="L83" s="16" t="s">
        <v>62</v>
      </c>
    </row>
    <row r="84" customFormat="false" ht="15" hidden="false" customHeight="false" outlineLevel="0" collapsed="false">
      <c r="A84" s="16" t="n">
        <v>83</v>
      </c>
      <c r="B84" s="16" t="s">
        <v>39</v>
      </c>
      <c r="C84" s="16" t="s">
        <v>61</v>
      </c>
      <c r="D84" s="16" t="s">
        <v>16</v>
      </c>
      <c r="E84" s="16" t="s">
        <v>27</v>
      </c>
      <c r="F84" s="16" t="s">
        <v>19</v>
      </c>
      <c r="G84" s="16" t="n">
        <v>1</v>
      </c>
      <c r="H84" s="17" t="n">
        <v>46240.9743055556</v>
      </c>
      <c r="I84" s="17" t="n">
        <v>46242.3388888889</v>
      </c>
      <c r="J84" s="18" t="n">
        <v>32.8</v>
      </c>
      <c r="K84" s="16" t="n">
        <v>24</v>
      </c>
      <c r="L84" s="16" t="s">
        <v>64</v>
      </c>
    </row>
    <row r="85" customFormat="false" ht="15" hidden="false" customHeight="false" outlineLevel="0" collapsed="false">
      <c r="A85" s="16" t="n">
        <v>84</v>
      </c>
      <c r="B85" s="16" t="s">
        <v>39</v>
      </c>
      <c r="C85" s="16" t="s">
        <v>61</v>
      </c>
      <c r="D85" s="16" t="s">
        <v>16</v>
      </c>
      <c r="E85" s="16" t="s">
        <v>28</v>
      </c>
      <c r="F85" s="16" t="s">
        <v>19</v>
      </c>
      <c r="G85" s="16" t="n">
        <v>1</v>
      </c>
      <c r="H85" s="17" t="n">
        <v>46258.3895833333</v>
      </c>
      <c r="I85" s="17" t="n">
        <v>46262.4222222222</v>
      </c>
      <c r="J85" s="18" t="n">
        <v>96.8</v>
      </c>
      <c r="K85" s="16" t="n">
        <v>72</v>
      </c>
      <c r="L85" s="16" t="s">
        <v>64</v>
      </c>
    </row>
    <row r="86" customFormat="false" ht="15" hidden="false" customHeight="false" outlineLevel="0" collapsed="false">
      <c r="A86" s="16" t="n">
        <v>85</v>
      </c>
      <c r="B86" s="16" t="s">
        <v>38</v>
      </c>
      <c r="C86" s="16" t="s">
        <v>61</v>
      </c>
      <c r="D86" s="16" t="s">
        <v>16</v>
      </c>
      <c r="E86" s="16" t="s">
        <v>27</v>
      </c>
      <c r="F86" s="16" t="s">
        <v>19</v>
      </c>
      <c r="G86" s="16" t="n">
        <v>1</v>
      </c>
      <c r="H86" s="17" t="n">
        <v>46265.6895833333</v>
      </c>
      <c r="I86" s="17" t="n">
        <v>46266.1763888889</v>
      </c>
      <c r="J86" s="18" t="n">
        <v>11.7</v>
      </c>
      <c r="K86" s="16" t="n">
        <v>24</v>
      </c>
      <c r="L86" s="16" t="s">
        <v>62</v>
      </c>
    </row>
    <row r="87" customFormat="false" ht="15" hidden="false" customHeight="false" outlineLevel="0" collapsed="false">
      <c r="A87" s="16" t="n">
        <v>86</v>
      </c>
      <c r="B87" s="16" t="s">
        <v>34</v>
      </c>
      <c r="C87" s="16" t="s">
        <v>61</v>
      </c>
      <c r="D87" s="16" t="s">
        <v>14</v>
      </c>
      <c r="E87" s="16" t="s">
        <v>28</v>
      </c>
      <c r="F87" s="16" t="s">
        <v>15</v>
      </c>
      <c r="G87" s="16" t="n">
        <v>1</v>
      </c>
      <c r="H87" s="17" t="n">
        <v>46292.7388888889</v>
      </c>
      <c r="I87" s="17"/>
      <c r="J87" s="18"/>
      <c r="K87" s="16" t="n">
        <v>72</v>
      </c>
      <c r="L87" s="16" t="s">
        <v>62</v>
      </c>
    </row>
    <row r="88" customFormat="false" ht="15" hidden="false" customHeight="false" outlineLevel="0" collapsed="false">
      <c r="A88" s="16" t="n">
        <v>87</v>
      </c>
      <c r="B88" s="16" t="s">
        <v>41</v>
      </c>
      <c r="C88" s="16" t="s">
        <v>61</v>
      </c>
      <c r="D88" s="16" t="s">
        <v>18</v>
      </c>
      <c r="E88" s="16" t="s">
        <v>28</v>
      </c>
      <c r="F88" s="16" t="s">
        <v>19</v>
      </c>
      <c r="G88" s="16" t="n">
        <v>2</v>
      </c>
      <c r="H88" s="17" t="n">
        <v>46251.2965277778</v>
      </c>
      <c r="I88" s="17" t="n">
        <v>46257.1673611111</v>
      </c>
      <c r="J88" s="18" t="n">
        <v>140.9</v>
      </c>
      <c r="K88" s="16" t="n">
        <v>72</v>
      </c>
      <c r="L88" s="16" t="s">
        <v>64</v>
      </c>
    </row>
    <row r="89" customFormat="false" ht="15" hidden="false" customHeight="false" outlineLevel="0" collapsed="false">
      <c r="A89" s="16" t="n">
        <v>88</v>
      </c>
      <c r="B89" s="16" t="s">
        <v>47</v>
      </c>
      <c r="C89" s="16" t="s">
        <v>63</v>
      </c>
      <c r="D89" s="16" t="s">
        <v>21</v>
      </c>
      <c r="E89" s="16" t="s">
        <v>27</v>
      </c>
      <c r="F89" s="16" t="s">
        <v>19</v>
      </c>
      <c r="G89" s="16" t="n">
        <v>1</v>
      </c>
      <c r="H89" s="17" t="n">
        <v>46214.4375</v>
      </c>
      <c r="I89" s="17" t="n">
        <v>46215.3888888889</v>
      </c>
      <c r="J89" s="18" t="n">
        <v>22.8</v>
      </c>
      <c r="K89" s="16" t="n">
        <v>24</v>
      </c>
      <c r="L89" s="16" t="s">
        <v>62</v>
      </c>
    </row>
    <row r="90" customFormat="false" ht="15" hidden="false" customHeight="false" outlineLevel="0" collapsed="false">
      <c r="A90" s="16" t="n">
        <v>89</v>
      </c>
      <c r="B90" s="16" t="s">
        <v>45</v>
      </c>
      <c r="C90" s="16" t="s">
        <v>61</v>
      </c>
      <c r="D90" s="16" t="s">
        <v>20</v>
      </c>
      <c r="E90" s="16" t="s">
        <v>28</v>
      </c>
      <c r="F90" s="16" t="s">
        <v>15</v>
      </c>
      <c r="G90" s="16" t="n">
        <v>1</v>
      </c>
      <c r="H90" s="17" t="n">
        <v>46283.0388888889</v>
      </c>
      <c r="I90" s="17"/>
      <c r="J90" s="18"/>
      <c r="K90" s="16" t="n">
        <v>72</v>
      </c>
      <c r="L90" s="16" t="s">
        <v>64</v>
      </c>
    </row>
    <row r="91" customFormat="false" ht="15" hidden="false" customHeight="false" outlineLevel="0" collapsed="false">
      <c r="A91" s="16" t="n">
        <v>90</v>
      </c>
      <c r="B91" s="16" t="s">
        <v>47</v>
      </c>
      <c r="C91" s="16" t="s">
        <v>63</v>
      </c>
      <c r="D91" s="16" t="s">
        <v>21</v>
      </c>
      <c r="E91" s="16" t="s">
        <v>26</v>
      </c>
      <c r="F91" s="16" t="s">
        <v>19</v>
      </c>
      <c r="G91" s="16" t="n">
        <v>1</v>
      </c>
      <c r="H91" s="17" t="n">
        <v>46222.2409722222</v>
      </c>
      <c r="I91" s="17" t="n">
        <v>46222.2979166667</v>
      </c>
      <c r="J91" s="18" t="n">
        <v>1.4</v>
      </c>
      <c r="K91" s="16" t="n">
        <v>4</v>
      </c>
      <c r="L91" s="16" t="s">
        <v>62</v>
      </c>
    </row>
    <row r="92" customFormat="false" ht="15" hidden="false" customHeight="false" outlineLevel="0" collapsed="false">
      <c r="A92" s="16" t="n">
        <v>91</v>
      </c>
      <c r="B92" s="16" t="s">
        <v>38</v>
      </c>
      <c r="C92" s="16" t="s">
        <v>61</v>
      </c>
      <c r="D92" s="16" t="s">
        <v>16</v>
      </c>
      <c r="E92" s="16" t="s">
        <v>27</v>
      </c>
      <c r="F92" s="16" t="s">
        <v>19</v>
      </c>
      <c r="G92" s="16" t="n">
        <v>1</v>
      </c>
      <c r="H92" s="17" t="n">
        <v>46273.05625</v>
      </c>
      <c r="I92" s="17" t="n">
        <v>46274.2854166667</v>
      </c>
      <c r="J92" s="18" t="n">
        <v>29.5</v>
      </c>
      <c r="K92" s="16" t="n">
        <v>24</v>
      </c>
      <c r="L92" s="16" t="s">
        <v>64</v>
      </c>
    </row>
    <row r="93" customFormat="false" ht="15" hidden="false" customHeight="false" outlineLevel="0" collapsed="false">
      <c r="A93" s="16" t="n">
        <v>92</v>
      </c>
      <c r="B93" s="16" t="s">
        <v>40</v>
      </c>
      <c r="C93" s="16" t="s">
        <v>61</v>
      </c>
      <c r="D93" s="16" t="s">
        <v>18</v>
      </c>
      <c r="E93" s="16" t="s">
        <v>28</v>
      </c>
      <c r="F93" s="16" t="s">
        <v>19</v>
      </c>
      <c r="G93" s="16" t="n">
        <v>2</v>
      </c>
      <c r="H93" s="17" t="n">
        <v>46244.0152777778</v>
      </c>
      <c r="I93" s="17" t="n">
        <v>46246.3361111111</v>
      </c>
      <c r="J93" s="18" t="n">
        <v>55.7</v>
      </c>
      <c r="K93" s="16" t="n">
        <v>72</v>
      </c>
      <c r="L93" s="16" t="s">
        <v>62</v>
      </c>
    </row>
    <row r="94" customFormat="false" ht="15" hidden="false" customHeight="false" outlineLevel="0" collapsed="false">
      <c r="A94" s="16" t="n">
        <v>93</v>
      </c>
      <c r="B94" s="16" t="s">
        <v>44</v>
      </c>
      <c r="C94" s="16" t="s">
        <v>61</v>
      </c>
      <c r="D94" s="16" t="s">
        <v>20</v>
      </c>
      <c r="E94" s="16" t="s">
        <v>27</v>
      </c>
      <c r="F94" s="16" t="s">
        <v>19</v>
      </c>
      <c r="G94" s="16" t="n">
        <v>1</v>
      </c>
      <c r="H94" s="17" t="n">
        <v>46212.5034722222</v>
      </c>
      <c r="I94" s="17" t="n">
        <v>46213.3354166667</v>
      </c>
      <c r="J94" s="18" t="n">
        <v>20</v>
      </c>
      <c r="K94" s="16" t="n">
        <v>24</v>
      </c>
      <c r="L94" s="16" t="s">
        <v>62</v>
      </c>
    </row>
    <row r="95" customFormat="false" ht="15" hidden="false" customHeight="false" outlineLevel="0" collapsed="false">
      <c r="A95" s="16" t="n">
        <v>94</v>
      </c>
      <c r="B95" s="16" t="s">
        <v>47</v>
      </c>
      <c r="C95" s="16" t="s">
        <v>63</v>
      </c>
      <c r="D95" s="16" t="s">
        <v>21</v>
      </c>
      <c r="E95" s="16" t="s">
        <v>26</v>
      </c>
      <c r="F95" s="16" t="s">
        <v>19</v>
      </c>
      <c r="G95" s="16" t="n">
        <v>1</v>
      </c>
      <c r="H95" s="17" t="n">
        <v>46284.5881944444</v>
      </c>
      <c r="I95" s="17" t="n">
        <v>46284.8159722222</v>
      </c>
      <c r="J95" s="18" t="n">
        <v>5.5</v>
      </c>
      <c r="K95" s="16" t="n">
        <v>4</v>
      </c>
      <c r="L95" s="16" t="s">
        <v>64</v>
      </c>
    </row>
    <row r="96" customFormat="false" ht="15" hidden="false" customHeight="false" outlineLevel="0" collapsed="false">
      <c r="A96" s="16" t="n">
        <v>95</v>
      </c>
      <c r="B96" s="16" t="s">
        <v>41</v>
      </c>
      <c r="C96" s="16" t="s">
        <v>61</v>
      </c>
      <c r="D96" s="16" t="s">
        <v>18</v>
      </c>
      <c r="E96" s="16" t="s">
        <v>27</v>
      </c>
      <c r="F96" s="16" t="s">
        <v>15</v>
      </c>
      <c r="G96" s="16" t="n">
        <v>1</v>
      </c>
      <c r="H96" s="17" t="n">
        <v>46293.0506944444</v>
      </c>
      <c r="I96" s="17"/>
      <c r="J96" s="18"/>
      <c r="K96" s="16" t="n">
        <v>24</v>
      </c>
      <c r="L96" s="16" t="s">
        <v>64</v>
      </c>
    </row>
    <row r="97" customFormat="false" ht="15" hidden="false" customHeight="false" outlineLevel="0" collapsed="false">
      <c r="A97" s="16" t="n">
        <v>96</v>
      </c>
      <c r="B97" s="16" t="s">
        <v>46</v>
      </c>
      <c r="C97" s="16" t="s">
        <v>63</v>
      </c>
      <c r="D97" s="16" t="s">
        <v>21</v>
      </c>
      <c r="E97" s="16" t="s">
        <v>28</v>
      </c>
      <c r="F97" s="16" t="s">
        <v>19</v>
      </c>
      <c r="G97" s="16" t="n">
        <v>1</v>
      </c>
      <c r="H97" s="17" t="n">
        <v>46226.8847222222</v>
      </c>
      <c r="I97" s="17" t="n">
        <v>46229.0715277778</v>
      </c>
      <c r="J97" s="18" t="n">
        <v>52.5</v>
      </c>
      <c r="K97" s="16" t="n">
        <v>72</v>
      </c>
      <c r="L97" s="16" t="s">
        <v>62</v>
      </c>
    </row>
    <row r="98" customFormat="false" ht="15" hidden="false" customHeight="false" outlineLevel="0" collapsed="false">
      <c r="A98" s="16" t="n">
        <v>97</v>
      </c>
      <c r="B98" s="16" t="s">
        <v>38</v>
      </c>
      <c r="C98" s="16" t="s">
        <v>61</v>
      </c>
      <c r="D98" s="16" t="s">
        <v>16</v>
      </c>
      <c r="E98" s="16" t="s">
        <v>26</v>
      </c>
      <c r="F98" s="16" t="s">
        <v>19</v>
      </c>
      <c r="G98" s="16" t="n">
        <v>1</v>
      </c>
      <c r="H98" s="17" t="n">
        <v>46286.3638888889</v>
      </c>
      <c r="I98" s="17" t="n">
        <v>46286.3805555556</v>
      </c>
      <c r="J98" s="18" t="n">
        <v>0.4</v>
      </c>
      <c r="K98" s="16" t="n">
        <v>4</v>
      </c>
      <c r="L98" s="16" t="s">
        <v>62</v>
      </c>
    </row>
    <row r="99" customFormat="false" ht="15" hidden="false" customHeight="false" outlineLevel="0" collapsed="false">
      <c r="A99" s="16" t="n">
        <v>98</v>
      </c>
      <c r="B99" s="16" t="s">
        <v>48</v>
      </c>
      <c r="C99" s="16" t="s">
        <v>63</v>
      </c>
      <c r="D99" s="16" t="s">
        <v>21</v>
      </c>
      <c r="E99" s="16" t="s">
        <v>26</v>
      </c>
      <c r="F99" s="16" t="s">
        <v>19</v>
      </c>
      <c r="G99" s="16" t="n">
        <v>1</v>
      </c>
      <c r="H99" s="17" t="n">
        <v>46250.0673611111</v>
      </c>
      <c r="I99" s="17" t="n">
        <v>46250.1979166667</v>
      </c>
      <c r="J99" s="18" t="n">
        <v>3.1</v>
      </c>
      <c r="K99" s="16" t="n">
        <v>4</v>
      </c>
      <c r="L99" s="16" t="s">
        <v>62</v>
      </c>
    </row>
    <row r="100" customFormat="false" ht="15" hidden="false" customHeight="false" outlineLevel="0" collapsed="false">
      <c r="A100" s="16" t="n">
        <v>99</v>
      </c>
      <c r="B100" s="16" t="s">
        <v>46</v>
      </c>
      <c r="C100" s="16" t="s">
        <v>63</v>
      </c>
      <c r="D100" s="16" t="s">
        <v>21</v>
      </c>
      <c r="E100" s="16" t="s">
        <v>28</v>
      </c>
      <c r="F100" s="16" t="s">
        <v>19</v>
      </c>
      <c r="G100" s="16" t="n">
        <v>1</v>
      </c>
      <c r="H100" s="17" t="n">
        <v>46253.0708333333</v>
      </c>
      <c r="I100" s="17" t="n">
        <v>46253.8027777778</v>
      </c>
      <c r="J100" s="18" t="n">
        <v>17.6</v>
      </c>
      <c r="K100" s="16" t="n">
        <v>72</v>
      </c>
      <c r="L100" s="16" t="s">
        <v>62</v>
      </c>
    </row>
    <row r="101" customFormat="false" ht="15" hidden="false" customHeight="false" outlineLevel="0" collapsed="false">
      <c r="A101" s="16" t="n">
        <v>100</v>
      </c>
      <c r="B101" s="16" t="s">
        <v>41</v>
      </c>
      <c r="C101" s="16" t="s">
        <v>61</v>
      </c>
      <c r="D101" s="16" t="s">
        <v>18</v>
      </c>
      <c r="E101" s="16" t="s">
        <v>28</v>
      </c>
      <c r="F101" s="16" t="s">
        <v>19</v>
      </c>
      <c r="G101" s="16" t="n">
        <v>1</v>
      </c>
      <c r="H101" s="17" t="n">
        <v>46225.3555555556</v>
      </c>
      <c r="I101" s="17" t="n">
        <v>46225.94375</v>
      </c>
      <c r="J101" s="18" t="n">
        <v>14.1</v>
      </c>
      <c r="K101" s="16" t="n">
        <v>72</v>
      </c>
      <c r="L101" s="16" t="s">
        <v>62</v>
      </c>
    </row>
    <row r="102" customFormat="false" ht="15" hidden="false" customHeight="false" outlineLevel="0" collapsed="false">
      <c r="A102" s="16" t="n">
        <v>101</v>
      </c>
      <c r="B102" s="16" t="s">
        <v>47</v>
      </c>
      <c r="C102" s="16" t="s">
        <v>63</v>
      </c>
      <c r="D102" s="16" t="s">
        <v>21</v>
      </c>
      <c r="E102" s="16" t="s">
        <v>28</v>
      </c>
      <c r="F102" s="16" t="s">
        <v>19</v>
      </c>
      <c r="G102" s="16" t="n">
        <v>2</v>
      </c>
      <c r="H102" s="17" t="n">
        <v>46270.7409722222</v>
      </c>
      <c r="I102" s="17" t="n">
        <v>46274.3159722222</v>
      </c>
      <c r="J102" s="18" t="n">
        <v>85.8</v>
      </c>
      <c r="K102" s="16" t="n">
        <v>72</v>
      </c>
      <c r="L102" s="16" t="s">
        <v>64</v>
      </c>
    </row>
    <row r="103" customFormat="false" ht="15" hidden="false" customHeight="false" outlineLevel="0" collapsed="false">
      <c r="A103" s="16" t="n">
        <v>102</v>
      </c>
      <c r="B103" s="16" t="s">
        <v>48</v>
      </c>
      <c r="C103" s="16" t="s">
        <v>63</v>
      </c>
      <c r="D103" s="16" t="s">
        <v>21</v>
      </c>
      <c r="E103" s="16" t="s">
        <v>26</v>
      </c>
      <c r="F103" s="16" t="s">
        <v>19</v>
      </c>
      <c r="G103" s="16" t="n">
        <v>1</v>
      </c>
      <c r="H103" s="17" t="n">
        <v>46253.38125</v>
      </c>
      <c r="I103" s="17" t="n">
        <v>46253.3986111111</v>
      </c>
      <c r="J103" s="18" t="n">
        <v>0.4</v>
      </c>
      <c r="K103" s="16" t="n">
        <v>4</v>
      </c>
      <c r="L103" s="16" t="s">
        <v>62</v>
      </c>
    </row>
    <row r="104" customFormat="false" ht="15" hidden="false" customHeight="false" outlineLevel="0" collapsed="false">
      <c r="A104" s="16" t="n">
        <v>103</v>
      </c>
      <c r="B104" s="16" t="s">
        <v>43</v>
      </c>
      <c r="C104" s="16" t="s">
        <v>61</v>
      </c>
      <c r="D104" s="16" t="s">
        <v>20</v>
      </c>
      <c r="E104" s="16" t="s">
        <v>27</v>
      </c>
      <c r="F104" s="16" t="s">
        <v>19</v>
      </c>
      <c r="G104" s="16" t="n">
        <v>1</v>
      </c>
      <c r="H104" s="17" t="n">
        <v>46243.3215277778</v>
      </c>
      <c r="I104" s="17" t="n">
        <v>46244.6604166667</v>
      </c>
      <c r="J104" s="18" t="n">
        <v>32.1</v>
      </c>
      <c r="K104" s="16" t="n">
        <v>24</v>
      </c>
      <c r="L104" s="16" t="s">
        <v>64</v>
      </c>
    </row>
    <row r="105" customFormat="false" ht="15" hidden="false" customHeight="false" outlineLevel="0" collapsed="false">
      <c r="A105" s="16" t="n">
        <v>104</v>
      </c>
      <c r="B105" s="16" t="s">
        <v>46</v>
      </c>
      <c r="C105" s="16" t="s">
        <v>63</v>
      </c>
      <c r="D105" s="16" t="s">
        <v>21</v>
      </c>
      <c r="E105" s="16" t="s">
        <v>28</v>
      </c>
      <c r="F105" s="16" t="s">
        <v>19</v>
      </c>
      <c r="G105" s="16" t="n">
        <v>1</v>
      </c>
      <c r="H105" s="17" t="n">
        <v>46242.8861111111</v>
      </c>
      <c r="I105" s="17" t="n">
        <v>46243.0715277778</v>
      </c>
      <c r="J105" s="18" t="n">
        <v>4.5</v>
      </c>
      <c r="K105" s="16" t="n">
        <v>72</v>
      </c>
      <c r="L105" s="16" t="s">
        <v>62</v>
      </c>
    </row>
    <row r="106" customFormat="false" ht="15" hidden="false" customHeight="false" outlineLevel="0" collapsed="false">
      <c r="A106" s="16" t="n">
        <v>105</v>
      </c>
      <c r="B106" s="16" t="s">
        <v>36</v>
      </c>
      <c r="C106" s="16" t="s">
        <v>63</v>
      </c>
      <c r="D106" s="16" t="s">
        <v>14</v>
      </c>
      <c r="E106" s="16" t="s">
        <v>27</v>
      </c>
      <c r="F106" s="16" t="s">
        <v>19</v>
      </c>
      <c r="G106" s="16" t="n">
        <v>1</v>
      </c>
      <c r="H106" s="17" t="n">
        <v>46262.9583333333</v>
      </c>
      <c r="I106" s="17" t="n">
        <v>46264.2805555556</v>
      </c>
      <c r="J106" s="18" t="n">
        <v>31.7</v>
      </c>
      <c r="K106" s="16" t="n">
        <v>24</v>
      </c>
      <c r="L106" s="16" t="s">
        <v>64</v>
      </c>
    </row>
    <row r="107" customFormat="false" ht="15" hidden="false" customHeight="false" outlineLevel="0" collapsed="false">
      <c r="A107" s="16" t="n">
        <v>106</v>
      </c>
      <c r="B107" s="16" t="s">
        <v>45</v>
      </c>
      <c r="C107" s="16" t="s">
        <v>61</v>
      </c>
      <c r="D107" s="16" t="s">
        <v>20</v>
      </c>
      <c r="E107" s="16" t="s">
        <v>28</v>
      </c>
      <c r="F107" s="16" t="s">
        <v>19</v>
      </c>
      <c r="G107" s="16" t="n">
        <v>1</v>
      </c>
      <c r="H107" s="17" t="n">
        <v>46270.28125</v>
      </c>
      <c r="I107" s="17" t="n">
        <v>46271.4569444444</v>
      </c>
      <c r="J107" s="18" t="n">
        <v>28.2</v>
      </c>
      <c r="K107" s="16" t="n">
        <v>72</v>
      </c>
      <c r="L107" s="16" t="s">
        <v>62</v>
      </c>
    </row>
    <row r="108" customFormat="false" ht="15" hidden="false" customHeight="false" outlineLevel="0" collapsed="false">
      <c r="A108" s="16" t="n">
        <v>107</v>
      </c>
      <c r="B108" s="16" t="s">
        <v>37</v>
      </c>
      <c r="C108" s="16" t="s">
        <v>61</v>
      </c>
      <c r="D108" s="16" t="s">
        <v>16</v>
      </c>
      <c r="E108" s="16" t="s">
        <v>27</v>
      </c>
      <c r="F108" s="16" t="s">
        <v>19</v>
      </c>
      <c r="G108" s="16" t="n">
        <v>2</v>
      </c>
      <c r="H108" s="17" t="n">
        <v>46228.7263888889</v>
      </c>
      <c r="I108" s="17" t="n">
        <v>46229.4055555556</v>
      </c>
      <c r="J108" s="18" t="n">
        <v>16.3</v>
      </c>
      <c r="K108" s="16" t="n">
        <v>24</v>
      </c>
      <c r="L108" s="16" t="s">
        <v>62</v>
      </c>
    </row>
    <row r="109" customFormat="false" ht="15" hidden="false" customHeight="false" outlineLevel="0" collapsed="false">
      <c r="A109" s="16" t="n">
        <v>108</v>
      </c>
      <c r="B109" s="16" t="s">
        <v>48</v>
      </c>
      <c r="C109" s="16" t="s">
        <v>63</v>
      </c>
      <c r="D109" s="16" t="s">
        <v>21</v>
      </c>
      <c r="E109" s="16" t="s">
        <v>27</v>
      </c>
      <c r="F109" s="16" t="s">
        <v>19</v>
      </c>
      <c r="G109" s="16" t="n">
        <v>1</v>
      </c>
      <c r="H109" s="17" t="n">
        <v>46226.9006944444</v>
      </c>
      <c r="I109" s="17" t="n">
        <v>46227.5847222222</v>
      </c>
      <c r="J109" s="18" t="n">
        <v>16.4</v>
      </c>
      <c r="K109" s="16" t="n">
        <v>24</v>
      </c>
      <c r="L109" s="16" t="s">
        <v>62</v>
      </c>
    </row>
    <row r="110" customFormat="false" ht="15" hidden="false" customHeight="false" outlineLevel="0" collapsed="false">
      <c r="A110" s="16" t="n">
        <v>109</v>
      </c>
      <c r="B110" s="16" t="s">
        <v>38</v>
      </c>
      <c r="C110" s="16" t="s">
        <v>61</v>
      </c>
      <c r="D110" s="16" t="s">
        <v>16</v>
      </c>
      <c r="E110" s="16" t="s">
        <v>27</v>
      </c>
      <c r="F110" s="16" t="s">
        <v>19</v>
      </c>
      <c r="G110" s="16" t="n">
        <v>1</v>
      </c>
      <c r="H110" s="17" t="n">
        <v>46234.6</v>
      </c>
      <c r="I110" s="17" t="n">
        <v>46234.6840277778</v>
      </c>
      <c r="J110" s="18" t="n">
        <v>2</v>
      </c>
      <c r="K110" s="16" t="n">
        <v>24</v>
      </c>
      <c r="L110" s="16" t="s">
        <v>62</v>
      </c>
    </row>
    <row r="111" customFormat="false" ht="15" hidden="false" customHeight="false" outlineLevel="0" collapsed="false">
      <c r="A111" s="16" t="n">
        <v>110</v>
      </c>
      <c r="B111" s="16" t="s">
        <v>47</v>
      </c>
      <c r="C111" s="16" t="s">
        <v>63</v>
      </c>
      <c r="D111" s="16" t="s">
        <v>21</v>
      </c>
      <c r="E111" s="16" t="s">
        <v>27</v>
      </c>
      <c r="F111" s="16" t="s">
        <v>19</v>
      </c>
      <c r="G111" s="16" t="n">
        <v>1</v>
      </c>
      <c r="H111" s="17" t="n">
        <v>46247.9847222222</v>
      </c>
      <c r="I111" s="17" t="n">
        <v>46249.2777777778</v>
      </c>
      <c r="J111" s="18" t="n">
        <v>31</v>
      </c>
      <c r="K111" s="16" t="n">
        <v>24</v>
      </c>
      <c r="L111" s="16" t="s">
        <v>64</v>
      </c>
    </row>
    <row r="112" customFormat="false" ht="15" hidden="false" customHeight="false" outlineLevel="0" collapsed="false">
      <c r="A112" s="16" t="n">
        <v>111</v>
      </c>
      <c r="B112" s="16" t="s">
        <v>48</v>
      </c>
      <c r="C112" s="16" t="s">
        <v>63</v>
      </c>
      <c r="D112" s="16" t="s">
        <v>21</v>
      </c>
      <c r="E112" s="16" t="s">
        <v>28</v>
      </c>
      <c r="F112" s="16" t="s">
        <v>19</v>
      </c>
      <c r="G112" s="16" t="n">
        <v>1</v>
      </c>
      <c r="H112" s="17" t="n">
        <v>46216.925</v>
      </c>
      <c r="I112" s="17" t="n">
        <v>46219.83125</v>
      </c>
      <c r="J112" s="18" t="n">
        <v>69.8</v>
      </c>
      <c r="K112" s="16" t="n">
        <v>72</v>
      </c>
      <c r="L112" s="16" t="s">
        <v>62</v>
      </c>
    </row>
    <row r="113" customFormat="false" ht="15" hidden="false" customHeight="false" outlineLevel="0" collapsed="false">
      <c r="A113" s="16" t="n">
        <v>112</v>
      </c>
      <c r="B113" s="16" t="s">
        <v>44</v>
      </c>
      <c r="C113" s="16" t="s">
        <v>61</v>
      </c>
      <c r="D113" s="16" t="s">
        <v>20</v>
      </c>
      <c r="E113" s="16" t="s">
        <v>27</v>
      </c>
      <c r="F113" s="16" t="s">
        <v>19</v>
      </c>
      <c r="G113" s="16" t="n">
        <v>1</v>
      </c>
      <c r="H113" s="17" t="n">
        <v>46249.4194444444</v>
      </c>
      <c r="I113" s="17" t="n">
        <v>46249.5319444445</v>
      </c>
      <c r="J113" s="18" t="n">
        <v>2.7</v>
      </c>
      <c r="K113" s="16" t="n">
        <v>24</v>
      </c>
      <c r="L113" s="16" t="s">
        <v>62</v>
      </c>
    </row>
    <row r="114" customFormat="false" ht="15" hidden="false" customHeight="false" outlineLevel="0" collapsed="false">
      <c r="A114" s="16" t="n">
        <v>113</v>
      </c>
      <c r="B114" s="16" t="s">
        <v>33</v>
      </c>
      <c r="C114" s="16" t="s">
        <v>61</v>
      </c>
      <c r="D114" s="16" t="s">
        <v>14</v>
      </c>
      <c r="E114" s="16" t="s">
        <v>28</v>
      </c>
      <c r="F114" s="16" t="s">
        <v>19</v>
      </c>
      <c r="G114" s="16" t="n">
        <v>1</v>
      </c>
      <c r="H114" s="17" t="n">
        <v>46213.3472222222</v>
      </c>
      <c r="I114" s="17" t="n">
        <v>46215.9798611111</v>
      </c>
      <c r="J114" s="18" t="n">
        <v>63.2</v>
      </c>
      <c r="K114" s="16" t="n">
        <v>72</v>
      </c>
      <c r="L114" s="16" t="s">
        <v>62</v>
      </c>
    </row>
    <row r="115" customFormat="false" ht="15" hidden="false" customHeight="false" outlineLevel="0" collapsed="false">
      <c r="A115" s="16" t="n">
        <v>114</v>
      </c>
      <c r="B115" s="16" t="s">
        <v>43</v>
      </c>
      <c r="C115" s="16" t="s">
        <v>61</v>
      </c>
      <c r="D115" s="16" t="s">
        <v>20</v>
      </c>
      <c r="E115" s="16" t="s">
        <v>28</v>
      </c>
      <c r="F115" s="16" t="s">
        <v>19</v>
      </c>
      <c r="G115" s="16" t="n">
        <v>1</v>
      </c>
      <c r="H115" s="17" t="n">
        <v>46286.5256944444</v>
      </c>
      <c r="I115" s="17" t="n">
        <v>46289.8493055556</v>
      </c>
      <c r="J115" s="18" t="n">
        <v>79.8</v>
      </c>
      <c r="K115" s="16" t="n">
        <v>72</v>
      </c>
      <c r="L115" s="16" t="s">
        <v>64</v>
      </c>
    </row>
    <row r="116" customFormat="false" ht="15" hidden="false" customHeight="false" outlineLevel="0" collapsed="false">
      <c r="A116" s="16" t="n">
        <v>115</v>
      </c>
      <c r="B116" s="16" t="s">
        <v>45</v>
      </c>
      <c r="C116" s="16" t="s">
        <v>61</v>
      </c>
      <c r="D116" s="16" t="s">
        <v>20</v>
      </c>
      <c r="E116" s="16" t="s">
        <v>27</v>
      </c>
      <c r="F116" s="16" t="s">
        <v>19</v>
      </c>
      <c r="G116" s="16" t="n">
        <v>1</v>
      </c>
      <c r="H116" s="17" t="n">
        <v>46269.4986111111</v>
      </c>
      <c r="I116" s="17" t="n">
        <v>46269.61875</v>
      </c>
      <c r="J116" s="18" t="n">
        <v>2.9</v>
      </c>
      <c r="K116" s="16" t="n">
        <v>24</v>
      </c>
      <c r="L116" s="16" t="s">
        <v>62</v>
      </c>
    </row>
    <row r="117" customFormat="false" ht="15" hidden="false" customHeight="false" outlineLevel="0" collapsed="false">
      <c r="A117" s="16" t="n">
        <v>116</v>
      </c>
      <c r="B117" s="16" t="s">
        <v>41</v>
      </c>
      <c r="C117" s="16" t="s">
        <v>61</v>
      </c>
      <c r="D117" s="16" t="s">
        <v>18</v>
      </c>
      <c r="E117" s="16" t="s">
        <v>28</v>
      </c>
      <c r="F117" s="16" t="s">
        <v>19</v>
      </c>
      <c r="G117" s="16" t="n">
        <v>1</v>
      </c>
      <c r="H117" s="17" t="n">
        <v>46265.3215277778</v>
      </c>
      <c r="I117" s="17" t="n">
        <v>46265.7631944444</v>
      </c>
      <c r="J117" s="18" t="n">
        <v>10.6</v>
      </c>
      <c r="K117" s="16" t="n">
        <v>72</v>
      </c>
      <c r="L117" s="16" t="s">
        <v>62</v>
      </c>
    </row>
    <row r="118" customFormat="false" ht="15" hidden="false" customHeight="false" outlineLevel="0" collapsed="false">
      <c r="A118" s="16" t="n">
        <v>117</v>
      </c>
      <c r="B118" s="16" t="s">
        <v>33</v>
      </c>
      <c r="C118" s="16" t="s">
        <v>61</v>
      </c>
      <c r="D118" s="16" t="s">
        <v>14</v>
      </c>
      <c r="E118" s="16" t="s">
        <v>27</v>
      </c>
      <c r="F118" s="16" t="s">
        <v>15</v>
      </c>
      <c r="G118" s="16" t="n">
        <v>1</v>
      </c>
      <c r="H118" s="17" t="n">
        <v>46293.2993055556</v>
      </c>
      <c r="I118" s="17"/>
      <c r="J118" s="18"/>
      <c r="K118" s="16" t="n">
        <v>24</v>
      </c>
      <c r="L118" s="16" t="s">
        <v>62</v>
      </c>
    </row>
    <row r="119" customFormat="false" ht="15" hidden="false" customHeight="false" outlineLevel="0" collapsed="false">
      <c r="A119" s="16" t="n">
        <v>118</v>
      </c>
      <c r="B119" s="16" t="s">
        <v>42</v>
      </c>
      <c r="C119" s="16" t="s">
        <v>61</v>
      </c>
      <c r="D119" s="16" t="s">
        <v>18</v>
      </c>
      <c r="E119" s="16" t="s">
        <v>27</v>
      </c>
      <c r="F119" s="16" t="s">
        <v>19</v>
      </c>
      <c r="G119" s="16" t="n">
        <v>1</v>
      </c>
      <c r="H119" s="17" t="n">
        <v>46276.6701388889</v>
      </c>
      <c r="I119" s="17" t="n">
        <v>46276.96875</v>
      </c>
      <c r="J119" s="18" t="n">
        <v>7.2</v>
      </c>
      <c r="K119" s="16" t="n">
        <v>24</v>
      </c>
      <c r="L119" s="16" t="s">
        <v>62</v>
      </c>
    </row>
    <row r="120" customFormat="false" ht="15" hidden="false" customHeight="false" outlineLevel="0" collapsed="false">
      <c r="A120" s="16" t="n">
        <v>119</v>
      </c>
      <c r="B120" s="16" t="s">
        <v>38</v>
      </c>
      <c r="C120" s="16" t="s">
        <v>61</v>
      </c>
      <c r="D120" s="16" t="s">
        <v>16</v>
      </c>
      <c r="E120" s="16" t="s">
        <v>26</v>
      </c>
      <c r="F120" s="16" t="s">
        <v>19</v>
      </c>
      <c r="G120" s="16" t="n">
        <v>1</v>
      </c>
      <c r="H120" s="17" t="n">
        <v>46205.8972222222</v>
      </c>
      <c r="I120" s="17" t="n">
        <v>46206.0493055556</v>
      </c>
      <c r="J120" s="18" t="n">
        <v>3.7</v>
      </c>
      <c r="K120" s="16" t="n">
        <v>4</v>
      </c>
      <c r="L120" s="16" t="s">
        <v>62</v>
      </c>
    </row>
    <row r="121" customFormat="false" ht="15" hidden="false" customHeight="false" outlineLevel="0" collapsed="false">
      <c r="A121" s="16" t="n">
        <v>120</v>
      </c>
      <c r="B121" s="16" t="s">
        <v>48</v>
      </c>
      <c r="C121" s="16" t="s">
        <v>63</v>
      </c>
      <c r="D121" s="16" t="s">
        <v>21</v>
      </c>
      <c r="E121" s="16" t="s">
        <v>27</v>
      </c>
      <c r="F121" s="16" t="s">
        <v>19</v>
      </c>
      <c r="G121" s="16" t="n">
        <v>1</v>
      </c>
      <c r="H121" s="17" t="n">
        <v>46254.2375</v>
      </c>
      <c r="I121" s="17" t="n">
        <v>46254.8493055556</v>
      </c>
      <c r="J121" s="18" t="n">
        <v>14.7</v>
      </c>
      <c r="K121" s="16" t="n">
        <v>24</v>
      </c>
      <c r="L121" s="16" t="s">
        <v>62</v>
      </c>
    </row>
    <row r="122" customFormat="false" ht="15" hidden="false" customHeight="false" outlineLevel="0" collapsed="false">
      <c r="A122" s="16" t="n">
        <v>121</v>
      </c>
      <c r="B122" s="16" t="s">
        <v>38</v>
      </c>
      <c r="C122" s="16" t="s">
        <v>61</v>
      </c>
      <c r="D122" s="16" t="s">
        <v>16</v>
      </c>
      <c r="E122" s="16" t="s">
        <v>26</v>
      </c>
      <c r="F122" s="16" t="s">
        <v>19</v>
      </c>
      <c r="G122" s="16" t="n">
        <v>1</v>
      </c>
      <c r="H122" s="17" t="n">
        <v>46289.08125</v>
      </c>
      <c r="I122" s="17" t="n">
        <v>46289.1020833333</v>
      </c>
      <c r="J122" s="18" t="n">
        <v>0.5</v>
      </c>
      <c r="K122" s="16" t="n">
        <v>4</v>
      </c>
      <c r="L122" s="16" t="s">
        <v>62</v>
      </c>
    </row>
    <row r="123" customFormat="false" ht="15" hidden="false" customHeight="false" outlineLevel="0" collapsed="false">
      <c r="A123" s="16" t="n">
        <v>122</v>
      </c>
      <c r="B123" s="16" t="s">
        <v>48</v>
      </c>
      <c r="C123" s="16" t="s">
        <v>63</v>
      </c>
      <c r="D123" s="16" t="s">
        <v>21</v>
      </c>
      <c r="E123" s="16" t="s">
        <v>28</v>
      </c>
      <c r="F123" s="16" t="s">
        <v>19</v>
      </c>
      <c r="G123" s="16" t="n">
        <v>1</v>
      </c>
      <c r="H123" s="17" t="n">
        <v>46279.4472222222</v>
      </c>
      <c r="I123" s="17" t="n">
        <v>46280.0965277778</v>
      </c>
      <c r="J123" s="18" t="n">
        <v>15.6</v>
      </c>
      <c r="K123" s="16" t="n">
        <v>72</v>
      </c>
      <c r="L123" s="16" t="s">
        <v>62</v>
      </c>
    </row>
    <row r="124" customFormat="false" ht="15" hidden="false" customHeight="false" outlineLevel="0" collapsed="false">
      <c r="A124" s="16" t="n">
        <v>123</v>
      </c>
      <c r="B124" s="16" t="s">
        <v>36</v>
      </c>
      <c r="C124" s="16" t="s">
        <v>63</v>
      </c>
      <c r="D124" s="16" t="s">
        <v>14</v>
      </c>
      <c r="E124" s="16" t="s">
        <v>27</v>
      </c>
      <c r="F124" s="16" t="s">
        <v>17</v>
      </c>
      <c r="G124" s="16" t="n">
        <v>2</v>
      </c>
      <c r="H124" s="17" t="n">
        <v>46228.0951388889</v>
      </c>
      <c r="I124" s="17"/>
      <c r="J124" s="18"/>
      <c r="K124" s="16" t="n">
        <v>24</v>
      </c>
      <c r="L124" s="16" t="s">
        <v>64</v>
      </c>
    </row>
    <row r="125" customFormat="false" ht="15" hidden="false" customHeight="false" outlineLevel="0" collapsed="false">
      <c r="A125" s="16" t="n">
        <v>124</v>
      </c>
      <c r="B125" s="16" t="s">
        <v>47</v>
      </c>
      <c r="C125" s="16" t="s">
        <v>63</v>
      </c>
      <c r="D125" s="16" t="s">
        <v>21</v>
      </c>
      <c r="E125" s="16" t="s">
        <v>27</v>
      </c>
      <c r="F125" s="16" t="s">
        <v>19</v>
      </c>
      <c r="G125" s="16" t="n">
        <v>2</v>
      </c>
      <c r="H125" s="17" t="n">
        <v>46272.6875</v>
      </c>
      <c r="I125" s="17" t="n">
        <v>46273.2902777778</v>
      </c>
      <c r="J125" s="18" t="n">
        <v>14.5</v>
      </c>
      <c r="K125" s="16" t="n">
        <v>24</v>
      </c>
      <c r="L125" s="16" t="s">
        <v>62</v>
      </c>
    </row>
    <row r="126" customFormat="false" ht="15" hidden="false" customHeight="false" outlineLevel="0" collapsed="false">
      <c r="A126" s="16" t="n">
        <v>125</v>
      </c>
      <c r="B126" s="16" t="s">
        <v>47</v>
      </c>
      <c r="C126" s="16" t="s">
        <v>63</v>
      </c>
      <c r="D126" s="16" t="s">
        <v>21</v>
      </c>
      <c r="E126" s="16" t="s">
        <v>26</v>
      </c>
      <c r="F126" s="16" t="s">
        <v>19</v>
      </c>
      <c r="G126" s="16" t="n">
        <v>2</v>
      </c>
      <c r="H126" s="17" t="n">
        <v>46208.4576388889</v>
      </c>
      <c r="I126" s="17" t="n">
        <v>46208.7763888889</v>
      </c>
      <c r="J126" s="18" t="n">
        <v>7.7</v>
      </c>
      <c r="K126" s="16" t="n">
        <v>4</v>
      </c>
      <c r="L126" s="16" t="s">
        <v>64</v>
      </c>
    </row>
    <row r="127" customFormat="false" ht="15" hidden="false" customHeight="false" outlineLevel="0" collapsed="false">
      <c r="A127" s="16" t="n">
        <v>126</v>
      </c>
      <c r="B127" s="16" t="s">
        <v>44</v>
      </c>
      <c r="C127" s="16" t="s">
        <v>61</v>
      </c>
      <c r="D127" s="16" t="s">
        <v>20</v>
      </c>
      <c r="E127" s="16" t="s">
        <v>27</v>
      </c>
      <c r="F127" s="16" t="s">
        <v>19</v>
      </c>
      <c r="G127" s="16" t="n">
        <v>1</v>
      </c>
      <c r="H127" s="17" t="n">
        <v>46234.3597222222</v>
      </c>
      <c r="I127" s="17" t="n">
        <v>46235.1375</v>
      </c>
      <c r="J127" s="18" t="n">
        <v>18.7</v>
      </c>
      <c r="K127" s="16" t="n">
        <v>24</v>
      </c>
      <c r="L127" s="16" t="s">
        <v>62</v>
      </c>
    </row>
    <row r="128" customFormat="false" ht="15" hidden="false" customHeight="false" outlineLevel="0" collapsed="false">
      <c r="A128" s="16" t="n">
        <v>127</v>
      </c>
      <c r="B128" s="16" t="s">
        <v>40</v>
      </c>
      <c r="C128" s="16" t="s">
        <v>61</v>
      </c>
      <c r="D128" s="16" t="s">
        <v>18</v>
      </c>
      <c r="E128" s="16" t="s">
        <v>28</v>
      </c>
      <c r="F128" s="16" t="s">
        <v>19</v>
      </c>
      <c r="G128" s="16" t="n">
        <v>1</v>
      </c>
      <c r="H128" s="17" t="n">
        <v>46281.9763888889</v>
      </c>
      <c r="I128" s="17" t="n">
        <v>46283.0076388889</v>
      </c>
      <c r="J128" s="18" t="n">
        <v>24.8</v>
      </c>
      <c r="K128" s="16" t="n">
        <v>72</v>
      </c>
      <c r="L128" s="16" t="s">
        <v>62</v>
      </c>
    </row>
    <row r="129" customFormat="false" ht="15" hidden="false" customHeight="false" outlineLevel="0" collapsed="false">
      <c r="A129" s="16" t="n">
        <v>128</v>
      </c>
      <c r="B129" s="16" t="s">
        <v>45</v>
      </c>
      <c r="C129" s="16" t="s">
        <v>61</v>
      </c>
      <c r="D129" s="16" t="s">
        <v>20</v>
      </c>
      <c r="E129" s="16" t="s">
        <v>27</v>
      </c>
      <c r="F129" s="16" t="s">
        <v>19</v>
      </c>
      <c r="G129" s="16" t="n">
        <v>1</v>
      </c>
      <c r="H129" s="17" t="n">
        <v>46264.7493055556</v>
      </c>
      <c r="I129" s="17" t="n">
        <v>46265.8006944444</v>
      </c>
      <c r="J129" s="18" t="n">
        <v>25.2</v>
      </c>
      <c r="K129" s="16" t="n">
        <v>24</v>
      </c>
      <c r="L129" s="16" t="s">
        <v>64</v>
      </c>
    </row>
    <row r="130" customFormat="false" ht="15" hidden="false" customHeight="false" outlineLevel="0" collapsed="false">
      <c r="A130" s="16" t="n">
        <v>129</v>
      </c>
      <c r="B130" s="16" t="s">
        <v>41</v>
      </c>
      <c r="C130" s="16" t="s">
        <v>61</v>
      </c>
      <c r="D130" s="16" t="s">
        <v>18</v>
      </c>
      <c r="E130" s="16" t="s">
        <v>27</v>
      </c>
      <c r="F130" s="16" t="s">
        <v>19</v>
      </c>
      <c r="G130" s="16" t="n">
        <v>1</v>
      </c>
      <c r="H130" s="17" t="n">
        <v>46287.5798611111</v>
      </c>
      <c r="I130" s="17" t="n">
        <v>46287.6208333333</v>
      </c>
      <c r="J130" s="18" t="n">
        <v>1</v>
      </c>
      <c r="K130" s="16" t="n">
        <v>24</v>
      </c>
      <c r="L130" s="16" t="s">
        <v>62</v>
      </c>
    </row>
    <row r="131" customFormat="false" ht="15" hidden="false" customHeight="false" outlineLevel="0" collapsed="false">
      <c r="A131" s="16" t="n">
        <v>130</v>
      </c>
      <c r="B131" s="16" t="s">
        <v>47</v>
      </c>
      <c r="C131" s="16" t="s">
        <v>63</v>
      </c>
      <c r="D131" s="16" t="s">
        <v>21</v>
      </c>
      <c r="E131" s="16" t="s">
        <v>26</v>
      </c>
      <c r="F131" s="16" t="s">
        <v>19</v>
      </c>
      <c r="G131" s="16" t="n">
        <v>1</v>
      </c>
      <c r="H131" s="17" t="n">
        <v>46212.5527777778</v>
      </c>
      <c r="I131" s="17" t="n">
        <v>46212.75625</v>
      </c>
      <c r="J131" s="18" t="n">
        <v>4.9</v>
      </c>
      <c r="K131" s="16" t="n">
        <v>4</v>
      </c>
      <c r="L131" s="16" t="s">
        <v>64</v>
      </c>
    </row>
    <row r="132" customFormat="false" ht="15" hidden="false" customHeight="false" outlineLevel="0" collapsed="false">
      <c r="A132" s="16" t="n">
        <v>131</v>
      </c>
      <c r="B132" s="16" t="s">
        <v>45</v>
      </c>
      <c r="C132" s="16" t="s">
        <v>61</v>
      </c>
      <c r="D132" s="16" t="s">
        <v>20</v>
      </c>
      <c r="E132" s="16" t="s">
        <v>27</v>
      </c>
      <c r="F132" s="16" t="s">
        <v>19</v>
      </c>
      <c r="G132" s="16" t="n">
        <v>1</v>
      </c>
      <c r="H132" s="17" t="n">
        <v>46223.9888888889</v>
      </c>
      <c r="I132" s="17" t="n">
        <v>46224.0770833333</v>
      </c>
      <c r="J132" s="18" t="n">
        <v>2.1</v>
      </c>
      <c r="K132" s="16" t="n">
        <v>24</v>
      </c>
      <c r="L132" s="16" t="s">
        <v>62</v>
      </c>
    </row>
    <row r="133" customFormat="false" ht="15" hidden="false" customHeight="false" outlineLevel="0" collapsed="false">
      <c r="A133" s="16" t="n">
        <v>132</v>
      </c>
      <c r="B133" s="16" t="s">
        <v>33</v>
      </c>
      <c r="C133" s="16" t="s">
        <v>61</v>
      </c>
      <c r="D133" s="16" t="s">
        <v>14</v>
      </c>
      <c r="E133" s="16" t="s">
        <v>26</v>
      </c>
      <c r="F133" s="16" t="s">
        <v>19</v>
      </c>
      <c r="G133" s="16" t="n">
        <v>1</v>
      </c>
      <c r="H133" s="17" t="n">
        <v>46224.3131944445</v>
      </c>
      <c r="I133" s="17" t="n">
        <v>46224.5</v>
      </c>
      <c r="J133" s="18" t="n">
        <v>4.5</v>
      </c>
      <c r="K133" s="16" t="n">
        <v>4</v>
      </c>
      <c r="L133" s="16" t="s">
        <v>64</v>
      </c>
    </row>
    <row r="134" customFormat="false" ht="15" hidden="false" customHeight="false" outlineLevel="0" collapsed="false">
      <c r="A134" s="16" t="n">
        <v>133</v>
      </c>
      <c r="B134" s="16" t="s">
        <v>48</v>
      </c>
      <c r="C134" s="16" t="s">
        <v>63</v>
      </c>
      <c r="D134" s="16" t="s">
        <v>21</v>
      </c>
      <c r="E134" s="16" t="s">
        <v>28</v>
      </c>
      <c r="F134" s="16" t="s">
        <v>19</v>
      </c>
      <c r="G134" s="16" t="n">
        <v>1</v>
      </c>
      <c r="H134" s="17" t="n">
        <v>46277.3256944444</v>
      </c>
      <c r="I134" s="17" t="n">
        <v>46279.9145833333</v>
      </c>
      <c r="J134" s="18" t="n">
        <v>62.1</v>
      </c>
      <c r="K134" s="16" t="n">
        <v>72</v>
      </c>
      <c r="L134" s="16" t="s">
        <v>62</v>
      </c>
    </row>
    <row r="135" customFormat="false" ht="15" hidden="false" customHeight="false" outlineLevel="0" collapsed="false">
      <c r="A135" s="16" t="n">
        <v>134</v>
      </c>
      <c r="B135" s="16" t="s">
        <v>41</v>
      </c>
      <c r="C135" s="16" t="s">
        <v>61</v>
      </c>
      <c r="D135" s="16" t="s">
        <v>18</v>
      </c>
      <c r="E135" s="16" t="s">
        <v>27</v>
      </c>
      <c r="F135" s="16" t="s">
        <v>19</v>
      </c>
      <c r="G135" s="16" t="n">
        <v>1</v>
      </c>
      <c r="H135" s="17" t="n">
        <v>46242.0201388889</v>
      </c>
      <c r="I135" s="17" t="n">
        <v>46242.3708333333</v>
      </c>
      <c r="J135" s="18" t="n">
        <v>8.4</v>
      </c>
      <c r="K135" s="16" t="n">
        <v>24</v>
      </c>
      <c r="L135" s="16" t="s">
        <v>62</v>
      </c>
    </row>
    <row r="136" customFormat="false" ht="15" hidden="false" customHeight="false" outlineLevel="0" collapsed="false">
      <c r="A136" s="16" t="n">
        <v>135</v>
      </c>
      <c r="B136" s="16" t="s">
        <v>44</v>
      </c>
      <c r="C136" s="16" t="s">
        <v>61</v>
      </c>
      <c r="D136" s="16" t="s">
        <v>20</v>
      </c>
      <c r="E136" s="16" t="s">
        <v>26</v>
      </c>
      <c r="F136" s="16" t="s">
        <v>13</v>
      </c>
      <c r="G136" s="16" t="n">
        <v>1</v>
      </c>
      <c r="H136" s="17" t="n">
        <v>46250.5611111111</v>
      </c>
      <c r="I136" s="17"/>
      <c r="J136" s="18"/>
      <c r="K136" s="16" t="n">
        <v>4</v>
      </c>
      <c r="L136" s="16" t="s">
        <v>64</v>
      </c>
    </row>
    <row r="137" customFormat="false" ht="15" hidden="false" customHeight="false" outlineLevel="0" collapsed="false">
      <c r="A137" s="16" t="n">
        <v>136</v>
      </c>
      <c r="B137" s="16" t="s">
        <v>41</v>
      </c>
      <c r="C137" s="16" t="s">
        <v>61</v>
      </c>
      <c r="D137" s="16" t="s">
        <v>18</v>
      </c>
      <c r="E137" s="16" t="s">
        <v>27</v>
      </c>
      <c r="F137" s="16" t="s">
        <v>19</v>
      </c>
      <c r="G137" s="16" t="n">
        <v>1</v>
      </c>
      <c r="H137" s="17" t="n">
        <v>46250.5194444444</v>
      </c>
      <c r="I137" s="17" t="n">
        <v>46251.5652777778</v>
      </c>
      <c r="J137" s="18" t="n">
        <v>25.1</v>
      </c>
      <c r="K137" s="16" t="n">
        <v>24</v>
      </c>
      <c r="L137" s="16" t="s">
        <v>64</v>
      </c>
    </row>
    <row r="138" customFormat="false" ht="15" hidden="false" customHeight="false" outlineLevel="0" collapsed="false">
      <c r="A138" s="16" t="n">
        <v>137</v>
      </c>
      <c r="B138" s="16" t="s">
        <v>33</v>
      </c>
      <c r="C138" s="16" t="s">
        <v>61</v>
      </c>
      <c r="D138" s="16" t="s">
        <v>14</v>
      </c>
      <c r="E138" s="16" t="s">
        <v>26</v>
      </c>
      <c r="F138" s="16" t="s">
        <v>19</v>
      </c>
      <c r="G138" s="16" t="n">
        <v>1</v>
      </c>
      <c r="H138" s="17" t="n">
        <v>46251.8833333333</v>
      </c>
      <c r="I138" s="17" t="n">
        <v>46251.95625</v>
      </c>
      <c r="J138" s="18" t="n">
        <v>1.8</v>
      </c>
      <c r="K138" s="16" t="n">
        <v>4</v>
      </c>
      <c r="L138" s="16" t="s">
        <v>62</v>
      </c>
    </row>
    <row r="139" customFormat="false" ht="15" hidden="false" customHeight="false" outlineLevel="0" collapsed="false">
      <c r="A139" s="16" t="n">
        <v>138</v>
      </c>
      <c r="B139" s="16" t="s">
        <v>44</v>
      </c>
      <c r="C139" s="16" t="s">
        <v>61</v>
      </c>
      <c r="D139" s="16" t="s">
        <v>20</v>
      </c>
      <c r="E139" s="16" t="s">
        <v>26</v>
      </c>
      <c r="F139" s="16" t="s">
        <v>19</v>
      </c>
      <c r="G139" s="16" t="n">
        <v>1</v>
      </c>
      <c r="H139" s="17" t="n">
        <v>46263.0777777778</v>
      </c>
      <c r="I139" s="17" t="n">
        <v>46263.1569444445</v>
      </c>
      <c r="J139" s="18" t="n">
        <v>1.9</v>
      </c>
      <c r="K139" s="16" t="n">
        <v>4</v>
      </c>
      <c r="L139" s="16" t="s">
        <v>62</v>
      </c>
    </row>
    <row r="140" customFormat="false" ht="15" hidden="false" customHeight="false" outlineLevel="0" collapsed="false">
      <c r="A140" s="16" t="n">
        <v>139</v>
      </c>
      <c r="B140" s="16" t="s">
        <v>45</v>
      </c>
      <c r="C140" s="16" t="s">
        <v>61</v>
      </c>
      <c r="D140" s="16" t="s">
        <v>20</v>
      </c>
      <c r="E140" s="16" t="s">
        <v>27</v>
      </c>
      <c r="F140" s="16" t="s">
        <v>19</v>
      </c>
      <c r="G140" s="16" t="n">
        <v>1</v>
      </c>
      <c r="H140" s="17" t="n">
        <v>46215.4277777778</v>
      </c>
      <c r="I140" s="17" t="n">
        <v>46216.2222222222</v>
      </c>
      <c r="J140" s="18" t="n">
        <v>19.1</v>
      </c>
      <c r="K140" s="16" t="n">
        <v>24</v>
      </c>
      <c r="L140" s="16" t="s">
        <v>62</v>
      </c>
    </row>
    <row r="141" customFormat="false" ht="15" hidden="false" customHeight="false" outlineLevel="0" collapsed="false">
      <c r="A141" s="16" t="n">
        <v>140</v>
      </c>
      <c r="B141" s="16" t="s">
        <v>40</v>
      </c>
      <c r="C141" s="16" t="s">
        <v>61</v>
      </c>
      <c r="D141" s="16" t="s">
        <v>18</v>
      </c>
      <c r="E141" s="16" t="s">
        <v>26</v>
      </c>
      <c r="F141" s="16" t="s">
        <v>15</v>
      </c>
      <c r="G141" s="16" t="n">
        <v>1</v>
      </c>
      <c r="H141" s="17" t="n">
        <v>46233.6694444444</v>
      </c>
      <c r="I141" s="17"/>
      <c r="J141" s="18"/>
      <c r="K141" s="16" t="n">
        <v>4</v>
      </c>
      <c r="L141" s="16" t="s">
        <v>64</v>
      </c>
    </row>
    <row r="142" customFormat="false" ht="15" hidden="false" customHeight="false" outlineLevel="0" collapsed="false">
      <c r="A142" s="16" t="n">
        <v>141</v>
      </c>
      <c r="B142" s="16" t="s">
        <v>42</v>
      </c>
      <c r="C142" s="16" t="s">
        <v>61</v>
      </c>
      <c r="D142" s="16" t="s">
        <v>18</v>
      </c>
      <c r="E142" s="16" t="s">
        <v>28</v>
      </c>
      <c r="F142" s="16" t="s">
        <v>19</v>
      </c>
      <c r="G142" s="16" t="n">
        <v>2</v>
      </c>
      <c r="H142" s="17" t="n">
        <v>46274.3555555556</v>
      </c>
      <c r="I142" s="17" t="n">
        <v>46276.7055555556</v>
      </c>
      <c r="J142" s="18" t="n">
        <v>56.4</v>
      </c>
      <c r="K142" s="16" t="n">
        <v>72</v>
      </c>
      <c r="L142" s="16" t="s">
        <v>62</v>
      </c>
    </row>
    <row r="143" customFormat="false" ht="15" hidden="false" customHeight="false" outlineLevel="0" collapsed="false">
      <c r="A143" s="16" t="n">
        <v>142</v>
      </c>
      <c r="B143" s="16" t="s">
        <v>42</v>
      </c>
      <c r="C143" s="16" t="s">
        <v>61</v>
      </c>
      <c r="D143" s="16" t="s">
        <v>18</v>
      </c>
      <c r="E143" s="16" t="s">
        <v>28</v>
      </c>
      <c r="F143" s="16" t="s">
        <v>19</v>
      </c>
      <c r="G143" s="16" t="n">
        <v>1</v>
      </c>
      <c r="H143" s="17" t="n">
        <v>46263.3340277778</v>
      </c>
      <c r="I143" s="17" t="n">
        <v>46266.2208333333</v>
      </c>
      <c r="J143" s="18" t="n">
        <v>69.3</v>
      </c>
      <c r="K143" s="16" t="n">
        <v>72</v>
      </c>
      <c r="L143" s="16" t="s">
        <v>62</v>
      </c>
    </row>
    <row r="144" customFormat="false" ht="15" hidden="false" customHeight="false" outlineLevel="0" collapsed="false">
      <c r="A144" s="16" t="n">
        <v>143</v>
      </c>
      <c r="B144" s="16" t="s">
        <v>45</v>
      </c>
      <c r="C144" s="16" t="s">
        <v>61</v>
      </c>
      <c r="D144" s="16" t="s">
        <v>20</v>
      </c>
      <c r="E144" s="16" t="s">
        <v>27</v>
      </c>
      <c r="F144" s="16" t="s">
        <v>19</v>
      </c>
      <c r="G144" s="16" t="n">
        <v>2</v>
      </c>
      <c r="H144" s="17" t="n">
        <v>46247.2979166667</v>
      </c>
      <c r="I144" s="17" t="n">
        <v>46247.7083333333</v>
      </c>
      <c r="J144" s="18" t="n">
        <v>9.9</v>
      </c>
      <c r="K144" s="16" t="n">
        <v>24</v>
      </c>
      <c r="L144" s="16" t="s">
        <v>62</v>
      </c>
    </row>
    <row r="145" customFormat="false" ht="15" hidden="false" customHeight="false" outlineLevel="0" collapsed="false">
      <c r="A145" s="16" t="n">
        <v>144</v>
      </c>
      <c r="B145" s="16" t="s">
        <v>39</v>
      </c>
      <c r="C145" s="16" t="s">
        <v>61</v>
      </c>
      <c r="D145" s="16" t="s">
        <v>16</v>
      </c>
      <c r="E145" s="16" t="s">
        <v>27</v>
      </c>
      <c r="F145" s="16" t="s">
        <v>19</v>
      </c>
      <c r="G145" s="16" t="n">
        <v>2</v>
      </c>
      <c r="H145" s="17" t="n">
        <v>46223.3284722222</v>
      </c>
      <c r="I145" s="17" t="n">
        <v>46223.8277777778</v>
      </c>
      <c r="J145" s="18" t="n">
        <v>12</v>
      </c>
      <c r="K145" s="16" t="n">
        <v>24</v>
      </c>
      <c r="L145" s="16" t="s">
        <v>62</v>
      </c>
    </row>
    <row r="146" customFormat="false" ht="15" hidden="false" customHeight="false" outlineLevel="0" collapsed="false">
      <c r="A146" s="16" t="n">
        <v>145</v>
      </c>
      <c r="B146" s="16" t="s">
        <v>39</v>
      </c>
      <c r="C146" s="16" t="s">
        <v>61</v>
      </c>
      <c r="D146" s="16" t="s">
        <v>16</v>
      </c>
      <c r="E146" s="16" t="s">
        <v>27</v>
      </c>
      <c r="F146" s="16" t="s">
        <v>19</v>
      </c>
      <c r="G146" s="16" t="n">
        <v>1</v>
      </c>
      <c r="H146" s="17" t="n">
        <v>46215.1756944444</v>
      </c>
      <c r="I146" s="17" t="n">
        <v>46216.1486111111</v>
      </c>
      <c r="J146" s="18" t="n">
        <v>23.4</v>
      </c>
      <c r="K146" s="16" t="n">
        <v>24</v>
      </c>
      <c r="L146" s="16" t="s">
        <v>62</v>
      </c>
    </row>
    <row r="147" customFormat="false" ht="15" hidden="false" customHeight="false" outlineLevel="0" collapsed="false">
      <c r="A147" s="16" t="n">
        <v>146</v>
      </c>
      <c r="B147" s="16" t="s">
        <v>37</v>
      </c>
      <c r="C147" s="16" t="s">
        <v>61</v>
      </c>
      <c r="D147" s="16" t="s">
        <v>16</v>
      </c>
      <c r="E147" s="16" t="s">
        <v>28</v>
      </c>
      <c r="F147" s="16" t="s">
        <v>19</v>
      </c>
      <c r="G147" s="16" t="n">
        <v>2</v>
      </c>
      <c r="H147" s="17" t="n">
        <v>46261.4895833333</v>
      </c>
      <c r="I147" s="17" t="n">
        <v>46264.3354166667</v>
      </c>
      <c r="J147" s="18" t="n">
        <v>68.3</v>
      </c>
      <c r="K147" s="16" t="n">
        <v>72</v>
      </c>
      <c r="L147" s="16" t="s">
        <v>62</v>
      </c>
    </row>
    <row r="148" customFormat="false" ht="15" hidden="false" customHeight="false" outlineLevel="0" collapsed="false">
      <c r="A148" s="16" t="n">
        <v>147</v>
      </c>
      <c r="B148" s="16" t="s">
        <v>37</v>
      </c>
      <c r="C148" s="16" t="s">
        <v>61</v>
      </c>
      <c r="D148" s="16" t="s">
        <v>16</v>
      </c>
      <c r="E148" s="16" t="s">
        <v>28</v>
      </c>
      <c r="F148" s="16" t="s">
        <v>19</v>
      </c>
      <c r="G148" s="16" t="n">
        <v>1</v>
      </c>
      <c r="H148" s="17" t="n">
        <v>46254.4368055556</v>
      </c>
      <c r="I148" s="17" t="n">
        <v>46255.4576388889</v>
      </c>
      <c r="J148" s="18" t="n">
        <v>24.5</v>
      </c>
      <c r="K148" s="16" t="n">
        <v>72</v>
      </c>
      <c r="L148" s="16" t="s">
        <v>62</v>
      </c>
    </row>
    <row r="149" customFormat="false" ht="15" hidden="false" customHeight="false" outlineLevel="0" collapsed="false">
      <c r="A149" s="16" t="n">
        <v>148</v>
      </c>
      <c r="B149" s="16" t="s">
        <v>48</v>
      </c>
      <c r="C149" s="16" t="s">
        <v>63</v>
      </c>
      <c r="D149" s="16" t="s">
        <v>21</v>
      </c>
      <c r="E149" s="16" t="s">
        <v>27</v>
      </c>
      <c r="F149" s="16" t="s">
        <v>13</v>
      </c>
      <c r="G149" s="16" t="n">
        <v>1</v>
      </c>
      <c r="H149" s="17" t="n">
        <v>46249.8972222222</v>
      </c>
      <c r="I149" s="17"/>
      <c r="J149" s="18"/>
      <c r="K149" s="16" t="n">
        <v>24</v>
      </c>
      <c r="L149" s="16" t="s">
        <v>64</v>
      </c>
    </row>
    <row r="150" customFormat="false" ht="15" hidden="false" customHeight="false" outlineLevel="0" collapsed="false">
      <c r="A150" s="16" t="n">
        <v>149</v>
      </c>
      <c r="B150" s="16" t="s">
        <v>47</v>
      </c>
      <c r="C150" s="16" t="s">
        <v>63</v>
      </c>
      <c r="D150" s="16" t="s">
        <v>21</v>
      </c>
      <c r="E150" s="16" t="s">
        <v>28</v>
      </c>
      <c r="F150" s="16" t="s">
        <v>19</v>
      </c>
      <c r="G150" s="16" t="n">
        <v>1</v>
      </c>
      <c r="H150" s="17" t="n">
        <v>46240.4895833333</v>
      </c>
      <c r="I150" s="17" t="n">
        <v>46244.5479166667</v>
      </c>
      <c r="J150" s="18" t="n">
        <v>97.4</v>
      </c>
      <c r="K150" s="16" t="n">
        <v>72</v>
      </c>
      <c r="L150" s="16" t="s">
        <v>64</v>
      </c>
    </row>
    <row r="151" customFormat="false" ht="15" hidden="false" customHeight="false" outlineLevel="0" collapsed="false">
      <c r="A151" s="16" t="n">
        <v>150</v>
      </c>
      <c r="B151" s="16" t="s">
        <v>45</v>
      </c>
      <c r="C151" s="16" t="s">
        <v>61</v>
      </c>
      <c r="D151" s="16" t="s">
        <v>20</v>
      </c>
      <c r="E151" s="16" t="s">
        <v>27</v>
      </c>
      <c r="F151" s="16" t="s">
        <v>19</v>
      </c>
      <c r="G151" s="16" t="n">
        <v>1</v>
      </c>
      <c r="H151" s="17" t="n">
        <v>46260.3888888889</v>
      </c>
      <c r="I151" s="17" t="n">
        <v>46260.9145833333</v>
      </c>
      <c r="J151" s="18" t="n">
        <v>12.6</v>
      </c>
      <c r="K151" s="16" t="n">
        <v>24</v>
      </c>
      <c r="L151" s="16" t="s">
        <v>62</v>
      </c>
    </row>
    <row r="152" customFormat="false" ht="15" hidden="false" customHeight="false" outlineLevel="0" collapsed="false">
      <c r="A152" s="16" t="n">
        <v>151</v>
      </c>
      <c r="B152" s="16" t="s">
        <v>43</v>
      </c>
      <c r="C152" s="16" t="s">
        <v>61</v>
      </c>
      <c r="D152" s="16" t="s">
        <v>20</v>
      </c>
      <c r="E152" s="16" t="s">
        <v>27</v>
      </c>
      <c r="F152" s="16" t="s">
        <v>19</v>
      </c>
      <c r="G152" s="16" t="n">
        <v>1</v>
      </c>
      <c r="H152" s="17" t="n">
        <v>46264.6368055556</v>
      </c>
      <c r="I152" s="17" t="n">
        <v>46265.2895833333</v>
      </c>
      <c r="J152" s="18" t="n">
        <v>15.7</v>
      </c>
      <c r="K152" s="16" t="n">
        <v>24</v>
      </c>
      <c r="L152" s="16" t="s">
        <v>62</v>
      </c>
    </row>
    <row r="153" customFormat="false" ht="15" hidden="false" customHeight="false" outlineLevel="0" collapsed="false">
      <c r="A153" s="16" t="n">
        <v>152</v>
      </c>
      <c r="B153" s="16" t="s">
        <v>48</v>
      </c>
      <c r="C153" s="16" t="s">
        <v>63</v>
      </c>
      <c r="D153" s="16" t="s">
        <v>21</v>
      </c>
      <c r="E153" s="16" t="s">
        <v>27</v>
      </c>
      <c r="F153" s="16" t="s">
        <v>19</v>
      </c>
      <c r="G153" s="16" t="n">
        <v>1</v>
      </c>
      <c r="H153" s="17" t="n">
        <v>46260.1236111111</v>
      </c>
      <c r="I153" s="17" t="n">
        <v>46261.3763888889</v>
      </c>
      <c r="J153" s="18" t="n">
        <v>30.1</v>
      </c>
      <c r="K153" s="16" t="n">
        <v>24</v>
      </c>
      <c r="L153" s="16" t="s">
        <v>64</v>
      </c>
    </row>
    <row r="154" customFormat="false" ht="15" hidden="false" customHeight="false" outlineLevel="0" collapsed="false">
      <c r="A154" s="16" t="n">
        <v>153</v>
      </c>
      <c r="B154" s="16" t="s">
        <v>45</v>
      </c>
      <c r="C154" s="16" t="s">
        <v>61</v>
      </c>
      <c r="D154" s="16" t="s">
        <v>20</v>
      </c>
      <c r="E154" s="16" t="s">
        <v>28</v>
      </c>
      <c r="F154" s="16" t="s">
        <v>19</v>
      </c>
      <c r="G154" s="16" t="n">
        <v>1</v>
      </c>
      <c r="H154" s="17" t="n">
        <v>46211.7333333333</v>
      </c>
      <c r="I154" s="17" t="n">
        <v>46215.2041666667</v>
      </c>
      <c r="J154" s="18" t="n">
        <v>83.3</v>
      </c>
      <c r="K154" s="16" t="n">
        <v>72</v>
      </c>
      <c r="L154" s="16" t="s">
        <v>64</v>
      </c>
    </row>
    <row r="155" customFormat="false" ht="15" hidden="false" customHeight="false" outlineLevel="0" collapsed="false">
      <c r="A155" s="16" t="n">
        <v>154</v>
      </c>
      <c r="B155" s="16" t="s">
        <v>39</v>
      </c>
      <c r="C155" s="16" t="s">
        <v>61</v>
      </c>
      <c r="D155" s="16" t="s">
        <v>16</v>
      </c>
      <c r="E155" s="16" t="s">
        <v>27</v>
      </c>
      <c r="F155" s="16" t="s">
        <v>19</v>
      </c>
      <c r="G155" s="16" t="n">
        <v>1</v>
      </c>
      <c r="H155" s="17" t="n">
        <v>46256.9534722222</v>
      </c>
      <c r="I155" s="17" t="n">
        <v>46257.5104166667</v>
      </c>
      <c r="J155" s="18" t="n">
        <v>13.4</v>
      </c>
      <c r="K155" s="16" t="n">
        <v>24</v>
      </c>
      <c r="L155" s="16" t="s">
        <v>62</v>
      </c>
    </row>
    <row r="156" customFormat="false" ht="15" hidden="false" customHeight="false" outlineLevel="0" collapsed="false">
      <c r="A156" s="16" t="n">
        <v>155</v>
      </c>
      <c r="B156" s="16" t="s">
        <v>45</v>
      </c>
      <c r="C156" s="16" t="s">
        <v>61</v>
      </c>
      <c r="D156" s="16" t="s">
        <v>20</v>
      </c>
      <c r="E156" s="16" t="s">
        <v>27</v>
      </c>
      <c r="F156" s="16" t="s">
        <v>13</v>
      </c>
      <c r="G156" s="16" t="n">
        <v>1</v>
      </c>
      <c r="H156" s="17" t="n">
        <v>46248.6388888889</v>
      </c>
      <c r="I156" s="17"/>
      <c r="J156" s="18"/>
      <c r="K156" s="16" t="n">
        <v>24</v>
      </c>
      <c r="L156" s="16" t="s">
        <v>64</v>
      </c>
    </row>
    <row r="157" customFormat="false" ht="15" hidden="false" customHeight="false" outlineLevel="0" collapsed="false">
      <c r="A157" s="16" t="n">
        <v>156</v>
      </c>
      <c r="B157" s="16" t="s">
        <v>42</v>
      </c>
      <c r="C157" s="16" t="s">
        <v>61</v>
      </c>
      <c r="D157" s="16" t="s">
        <v>18</v>
      </c>
      <c r="E157" s="16" t="s">
        <v>27</v>
      </c>
      <c r="F157" s="16" t="s">
        <v>19</v>
      </c>
      <c r="G157" s="16" t="n">
        <v>1</v>
      </c>
      <c r="H157" s="17" t="n">
        <v>46277.5701388889</v>
      </c>
      <c r="I157" s="17" t="n">
        <v>46278.6513888889</v>
      </c>
      <c r="J157" s="18" t="n">
        <v>26</v>
      </c>
      <c r="K157" s="16" t="n">
        <v>24</v>
      </c>
      <c r="L157" s="16" t="s">
        <v>64</v>
      </c>
    </row>
    <row r="158" customFormat="false" ht="15" hidden="false" customHeight="false" outlineLevel="0" collapsed="false">
      <c r="A158" s="16" t="n">
        <v>157</v>
      </c>
      <c r="B158" s="16" t="s">
        <v>39</v>
      </c>
      <c r="C158" s="16" t="s">
        <v>61</v>
      </c>
      <c r="D158" s="16" t="s">
        <v>16</v>
      </c>
      <c r="E158" s="16" t="s">
        <v>27</v>
      </c>
      <c r="F158" s="16" t="s">
        <v>19</v>
      </c>
      <c r="G158" s="16" t="n">
        <v>1</v>
      </c>
      <c r="H158" s="17" t="n">
        <v>46268.3944444444</v>
      </c>
      <c r="I158" s="17" t="n">
        <v>46268.6743055556</v>
      </c>
      <c r="J158" s="18" t="n">
        <v>6.7</v>
      </c>
      <c r="K158" s="16" t="n">
        <v>24</v>
      </c>
      <c r="L158" s="16" t="s">
        <v>62</v>
      </c>
    </row>
    <row r="159" customFormat="false" ht="15" hidden="false" customHeight="false" outlineLevel="0" collapsed="false">
      <c r="A159" s="16" t="n">
        <v>158</v>
      </c>
      <c r="B159" s="16" t="s">
        <v>36</v>
      </c>
      <c r="C159" s="16" t="s">
        <v>63</v>
      </c>
      <c r="D159" s="16" t="s">
        <v>14</v>
      </c>
      <c r="E159" s="16" t="s">
        <v>28</v>
      </c>
      <c r="F159" s="16" t="s">
        <v>19</v>
      </c>
      <c r="G159" s="16" t="n">
        <v>2</v>
      </c>
      <c r="H159" s="17" t="n">
        <v>46251.6423611111</v>
      </c>
      <c r="I159" s="17" t="n">
        <v>46255.0701388889</v>
      </c>
      <c r="J159" s="18" t="n">
        <v>82.3</v>
      </c>
      <c r="K159" s="16" t="n">
        <v>72</v>
      </c>
      <c r="L159" s="16" t="s">
        <v>64</v>
      </c>
    </row>
    <row r="160" customFormat="false" ht="15" hidden="false" customHeight="false" outlineLevel="0" collapsed="false">
      <c r="A160" s="16" t="n">
        <v>159</v>
      </c>
      <c r="B160" s="16" t="s">
        <v>42</v>
      </c>
      <c r="C160" s="16" t="s">
        <v>61</v>
      </c>
      <c r="D160" s="16" t="s">
        <v>18</v>
      </c>
      <c r="E160" s="16" t="s">
        <v>26</v>
      </c>
      <c r="F160" s="16" t="s">
        <v>17</v>
      </c>
      <c r="G160" s="16" t="n">
        <v>2</v>
      </c>
      <c r="H160" s="17" t="n">
        <v>46253.1201388889</v>
      </c>
      <c r="I160" s="17"/>
      <c r="J160" s="18"/>
      <c r="K160" s="16" t="n">
        <v>4</v>
      </c>
      <c r="L160" s="16" t="s">
        <v>64</v>
      </c>
    </row>
    <row r="161" customFormat="false" ht="15" hidden="false" customHeight="false" outlineLevel="0" collapsed="false">
      <c r="A161" s="16" t="n">
        <v>160</v>
      </c>
      <c r="B161" s="16" t="s">
        <v>39</v>
      </c>
      <c r="C161" s="16" t="s">
        <v>61</v>
      </c>
      <c r="D161" s="16" t="s">
        <v>16</v>
      </c>
      <c r="E161" s="16" t="s">
        <v>28</v>
      </c>
      <c r="F161" s="16" t="s">
        <v>19</v>
      </c>
      <c r="G161" s="16" t="n">
        <v>1</v>
      </c>
      <c r="H161" s="17" t="n">
        <v>46245.8875</v>
      </c>
      <c r="I161" s="17" t="n">
        <v>46247.2354166667</v>
      </c>
      <c r="J161" s="18" t="n">
        <v>32.4</v>
      </c>
      <c r="K161" s="16" t="n">
        <v>72</v>
      </c>
      <c r="L161" s="16" t="s">
        <v>62</v>
      </c>
    </row>
    <row r="162" customFormat="false" ht="15" hidden="false" customHeight="false" outlineLevel="0" collapsed="false">
      <c r="A162" s="16" t="n">
        <v>161</v>
      </c>
      <c r="B162" s="16" t="s">
        <v>39</v>
      </c>
      <c r="C162" s="16" t="s">
        <v>61</v>
      </c>
      <c r="D162" s="16" t="s">
        <v>16</v>
      </c>
      <c r="E162" s="16" t="s">
        <v>27</v>
      </c>
      <c r="F162" s="16" t="s">
        <v>19</v>
      </c>
      <c r="G162" s="16" t="n">
        <v>1</v>
      </c>
      <c r="H162" s="17" t="n">
        <v>46253.0944444445</v>
      </c>
      <c r="I162" s="17" t="n">
        <v>46253.4944444444</v>
      </c>
      <c r="J162" s="18" t="n">
        <v>9.6</v>
      </c>
      <c r="K162" s="16" t="n">
        <v>24</v>
      </c>
      <c r="L162" s="16" t="s">
        <v>62</v>
      </c>
    </row>
    <row r="163" customFormat="false" ht="15" hidden="false" customHeight="false" outlineLevel="0" collapsed="false">
      <c r="A163" s="16" t="n">
        <v>162</v>
      </c>
      <c r="B163" s="16" t="s">
        <v>48</v>
      </c>
      <c r="C163" s="16" t="s">
        <v>63</v>
      </c>
      <c r="D163" s="16" t="s">
        <v>21</v>
      </c>
      <c r="E163" s="16" t="s">
        <v>27</v>
      </c>
      <c r="F163" s="16" t="s">
        <v>17</v>
      </c>
      <c r="G163" s="16" t="n">
        <v>2</v>
      </c>
      <c r="H163" s="17" t="n">
        <v>46246.4486111111</v>
      </c>
      <c r="I163" s="17"/>
      <c r="J163" s="18"/>
      <c r="K163" s="16" t="n">
        <v>24</v>
      </c>
      <c r="L163" s="16" t="s">
        <v>64</v>
      </c>
    </row>
    <row r="164" customFormat="false" ht="15" hidden="false" customHeight="false" outlineLevel="0" collapsed="false">
      <c r="A164" s="16" t="n">
        <v>163</v>
      </c>
      <c r="B164" s="16" t="s">
        <v>48</v>
      </c>
      <c r="C164" s="16" t="s">
        <v>63</v>
      </c>
      <c r="D164" s="16" t="s">
        <v>21</v>
      </c>
      <c r="E164" s="16" t="s">
        <v>27</v>
      </c>
      <c r="F164" s="16" t="s">
        <v>19</v>
      </c>
      <c r="G164" s="16" t="n">
        <v>1</v>
      </c>
      <c r="H164" s="17" t="n">
        <v>46255.9736111111</v>
      </c>
      <c r="I164" s="17" t="n">
        <v>46256.0659722222</v>
      </c>
      <c r="J164" s="18" t="n">
        <v>2.2</v>
      </c>
      <c r="K164" s="16" t="n">
        <v>24</v>
      </c>
      <c r="L164" s="16" t="s">
        <v>62</v>
      </c>
    </row>
    <row r="165" customFormat="false" ht="15" hidden="false" customHeight="false" outlineLevel="0" collapsed="false">
      <c r="A165" s="16" t="n">
        <v>164</v>
      </c>
      <c r="B165" s="16" t="s">
        <v>40</v>
      </c>
      <c r="C165" s="16" t="s">
        <v>61</v>
      </c>
      <c r="D165" s="16" t="s">
        <v>18</v>
      </c>
      <c r="E165" s="16" t="s">
        <v>28</v>
      </c>
      <c r="F165" s="16" t="s">
        <v>19</v>
      </c>
      <c r="G165" s="16" t="n">
        <v>1</v>
      </c>
      <c r="H165" s="17" t="n">
        <v>46226.8020833333</v>
      </c>
      <c r="I165" s="17" t="n">
        <v>46226.975</v>
      </c>
      <c r="J165" s="18" t="n">
        <v>4.1</v>
      </c>
      <c r="K165" s="16" t="n">
        <v>72</v>
      </c>
      <c r="L165" s="16" t="s">
        <v>62</v>
      </c>
    </row>
    <row r="166" customFormat="false" ht="15" hidden="false" customHeight="false" outlineLevel="0" collapsed="false">
      <c r="A166" s="16" t="n">
        <v>165</v>
      </c>
      <c r="B166" s="16" t="s">
        <v>38</v>
      </c>
      <c r="C166" s="16" t="s">
        <v>61</v>
      </c>
      <c r="D166" s="16" t="s">
        <v>16</v>
      </c>
      <c r="E166" s="16" t="s">
        <v>26</v>
      </c>
      <c r="F166" s="16" t="s">
        <v>19</v>
      </c>
      <c r="G166" s="16" t="n">
        <v>1</v>
      </c>
      <c r="H166" s="17" t="n">
        <v>46237.6395833333</v>
      </c>
      <c r="I166" s="17" t="n">
        <v>46237.7895833333</v>
      </c>
      <c r="J166" s="18" t="n">
        <v>3.6</v>
      </c>
      <c r="K166" s="16" t="n">
        <v>4</v>
      </c>
      <c r="L166" s="16" t="s">
        <v>62</v>
      </c>
    </row>
    <row r="167" customFormat="false" ht="15" hidden="false" customHeight="false" outlineLevel="0" collapsed="false">
      <c r="A167" s="16" t="n">
        <v>166</v>
      </c>
      <c r="B167" s="16" t="s">
        <v>48</v>
      </c>
      <c r="C167" s="16" t="s">
        <v>63</v>
      </c>
      <c r="D167" s="16" t="s">
        <v>21</v>
      </c>
      <c r="E167" s="16" t="s">
        <v>28</v>
      </c>
      <c r="F167" s="16" t="s">
        <v>19</v>
      </c>
      <c r="G167" s="16" t="n">
        <v>1</v>
      </c>
      <c r="H167" s="17" t="n">
        <v>46224.9944444444</v>
      </c>
      <c r="I167" s="17" t="n">
        <v>46229.0256944444</v>
      </c>
      <c r="J167" s="18" t="n">
        <v>96.8</v>
      </c>
      <c r="K167" s="16" t="n">
        <v>72</v>
      </c>
      <c r="L167" s="16" t="s">
        <v>64</v>
      </c>
    </row>
    <row r="168" customFormat="false" ht="15" hidden="false" customHeight="false" outlineLevel="0" collapsed="false">
      <c r="A168" s="16" t="n">
        <v>167</v>
      </c>
      <c r="B168" s="16" t="s">
        <v>43</v>
      </c>
      <c r="C168" s="16" t="s">
        <v>61</v>
      </c>
      <c r="D168" s="16" t="s">
        <v>20</v>
      </c>
      <c r="E168" s="16" t="s">
        <v>27</v>
      </c>
      <c r="F168" s="16" t="s">
        <v>19</v>
      </c>
      <c r="G168" s="16" t="n">
        <v>1</v>
      </c>
      <c r="H168" s="17" t="n">
        <v>46208.9611111111</v>
      </c>
      <c r="I168" s="17" t="n">
        <v>46209.4833333333</v>
      </c>
      <c r="J168" s="18" t="n">
        <v>12.5</v>
      </c>
      <c r="K168" s="16" t="n">
        <v>24</v>
      </c>
      <c r="L168" s="16" t="s">
        <v>62</v>
      </c>
    </row>
    <row r="169" customFormat="false" ht="15" hidden="false" customHeight="false" outlineLevel="0" collapsed="false">
      <c r="A169" s="16" t="n">
        <v>168</v>
      </c>
      <c r="B169" s="16" t="s">
        <v>34</v>
      </c>
      <c r="C169" s="16" t="s">
        <v>61</v>
      </c>
      <c r="D169" s="16" t="s">
        <v>14</v>
      </c>
      <c r="E169" s="16" t="s">
        <v>27</v>
      </c>
      <c r="F169" s="16" t="s">
        <v>19</v>
      </c>
      <c r="G169" s="16" t="n">
        <v>1</v>
      </c>
      <c r="H169" s="17" t="n">
        <v>46251.6472222222</v>
      </c>
      <c r="I169" s="17" t="n">
        <v>46252.5256944444</v>
      </c>
      <c r="J169" s="18" t="n">
        <v>21.1</v>
      </c>
      <c r="K169" s="16" t="n">
        <v>24</v>
      </c>
      <c r="L169" s="16" t="s">
        <v>62</v>
      </c>
    </row>
    <row r="170" customFormat="false" ht="15" hidden="false" customHeight="false" outlineLevel="0" collapsed="false">
      <c r="A170" s="16" t="n">
        <v>169</v>
      </c>
      <c r="B170" s="16" t="s">
        <v>39</v>
      </c>
      <c r="C170" s="16" t="s">
        <v>61</v>
      </c>
      <c r="D170" s="16" t="s">
        <v>16</v>
      </c>
      <c r="E170" s="16" t="s">
        <v>28</v>
      </c>
      <c r="F170" s="16" t="s">
        <v>19</v>
      </c>
      <c r="G170" s="16" t="n">
        <v>1</v>
      </c>
      <c r="H170" s="17" t="n">
        <v>46216.6354166667</v>
      </c>
      <c r="I170" s="17" t="n">
        <v>46216.8006944444</v>
      </c>
      <c r="J170" s="18" t="n">
        <v>4</v>
      </c>
      <c r="K170" s="16" t="n">
        <v>72</v>
      </c>
      <c r="L170" s="16" t="s">
        <v>62</v>
      </c>
    </row>
    <row r="171" customFormat="false" ht="15" hidden="false" customHeight="false" outlineLevel="0" collapsed="false">
      <c r="A171" s="16" t="n">
        <v>170</v>
      </c>
      <c r="B171" s="16" t="s">
        <v>46</v>
      </c>
      <c r="C171" s="16" t="s">
        <v>63</v>
      </c>
      <c r="D171" s="16" t="s">
        <v>21</v>
      </c>
      <c r="E171" s="16" t="s">
        <v>27</v>
      </c>
      <c r="F171" s="16" t="s">
        <v>19</v>
      </c>
      <c r="G171" s="16" t="n">
        <v>1</v>
      </c>
      <c r="H171" s="17" t="n">
        <v>46217.5840277778</v>
      </c>
      <c r="I171" s="17" t="n">
        <v>46218.0291666667</v>
      </c>
      <c r="J171" s="18" t="n">
        <v>10.7</v>
      </c>
      <c r="K171" s="16" t="n">
        <v>24</v>
      </c>
      <c r="L171" s="16" t="s">
        <v>62</v>
      </c>
    </row>
    <row r="172" customFormat="false" ht="15" hidden="false" customHeight="false" outlineLevel="0" collapsed="false">
      <c r="A172" s="16" t="n">
        <v>171</v>
      </c>
      <c r="B172" s="16" t="s">
        <v>34</v>
      </c>
      <c r="C172" s="16" t="s">
        <v>61</v>
      </c>
      <c r="D172" s="16" t="s">
        <v>14</v>
      </c>
      <c r="E172" s="16" t="s">
        <v>26</v>
      </c>
      <c r="F172" s="16" t="s">
        <v>19</v>
      </c>
      <c r="G172" s="16" t="n">
        <v>2</v>
      </c>
      <c r="H172" s="17" t="n">
        <v>46232.4041666667</v>
      </c>
      <c r="I172" s="17" t="n">
        <v>46232.5409722222</v>
      </c>
      <c r="J172" s="18" t="n">
        <v>3.3</v>
      </c>
      <c r="K172" s="16" t="n">
        <v>4</v>
      </c>
      <c r="L172" s="16" t="s">
        <v>62</v>
      </c>
    </row>
    <row r="173" customFormat="false" ht="15" hidden="false" customHeight="false" outlineLevel="0" collapsed="false">
      <c r="A173" s="16" t="n">
        <v>172</v>
      </c>
      <c r="B173" s="16" t="s">
        <v>33</v>
      </c>
      <c r="C173" s="16" t="s">
        <v>61</v>
      </c>
      <c r="D173" s="16" t="s">
        <v>14</v>
      </c>
      <c r="E173" s="16" t="s">
        <v>27</v>
      </c>
      <c r="F173" s="16" t="s">
        <v>19</v>
      </c>
      <c r="G173" s="16" t="n">
        <v>1</v>
      </c>
      <c r="H173" s="17" t="n">
        <v>46267.8652777778</v>
      </c>
      <c r="I173" s="17" t="n">
        <v>46269.1111111111</v>
      </c>
      <c r="J173" s="18" t="n">
        <v>29.9</v>
      </c>
      <c r="K173" s="16" t="n">
        <v>24</v>
      </c>
      <c r="L173" s="16" t="s">
        <v>64</v>
      </c>
    </row>
    <row r="174" customFormat="false" ht="15" hidden="false" customHeight="false" outlineLevel="0" collapsed="false">
      <c r="A174" s="16" t="n">
        <v>173</v>
      </c>
      <c r="B174" s="16" t="s">
        <v>35</v>
      </c>
      <c r="C174" s="16" t="s">
        <v>61</v>
      </c>
      <c r="D174" s="16" t="s">
        <v>14</v>
      </c>
      <c r="E174" s="16" t="s">
        <v>26</v>
      </c>
      <c r="F174" s="16" t="s">
        <v>19</v>
      </c>
      <c r="G174" s="16" t="n">
        <v>1</v>
      </c>
      <c r="H174" s="17" t="n">
        <v>46252.0486111111</v>
      </c>
      <c r="I174" s="17" t="n">
        <v>46252.2472222222</v>
      </c>
      <c r="J174" s="18" t="n">
        <v>4.8</v>
      </c>
      <c r="K174" s="16" t="n">
        <v>4</v>
      </c>
      <c r="L174" s="16" t="s">
        <v>64</v>
      </c>
    </row>
    <row r="175" customFormat="false" ht="15" hidden="false" customHeight="false" outlineLevel="0" collapsed="false">
      <c r="A175" s="16" t="n">
        <v>174</v>
      </c>
      <c r="B175" s="16" t="s">
        <v>39</v>
      </c>
      <c r="C175" s="16" t="s">
        <v>61</v>
      </c>
      <c r="D175" s="16" t="s">
        <v>16</v>
      </c>
      <c r="E175" s="16" t="s">
        <v>28</v>
      </c>
      <c r="F175" s="16" t="s">
        <v>19</v>
      </c>
      <c r="G175" s="16" t="n">
        <v>1</v>
      </c>
      <c r="H175" s="17" t="n">
        <v>46228.1270833333</v>
      </c>
      <c r="I175" s="17" t="n">
        <v>46229.3451388889</v>
      </c>
      <c r="J175" s="18" t="n">
        <v>29.2</v>
      </c>
      <c r="K175" s="16" t="n">
        <v>72</v>
      </c>
      <c r="L175" s="16" t="s">
        <v>62</v>
      </c>
    </row>
    <row r="176" customFormat="false" ht="15" hidden="false" customHeight="false" outlineLevel="0" collapsed="false">
      <c r="A176" s="16" t="n">
        <v>175</v>
      </c>
      <c r="B176" s="16" t="s">
        <v>45</v>
      </c>
      <c r="C176" s="16" t="s">
        <v>61</v>
      </c>
      <c r="D176" s="16" t="s">
        <v>20</v>
      </c>
      <c r="E176" s="16" t="s">
        <v>27</v>
      </c>
      <c r="F176" s="16" t="s">
        <v>19</v>
      </c>
      <c r="G176" s="16" t="n">
        <v>1</v>
      </c>
      <c r="H176" s="17" t="n">
        <v>46204.8611111111</v>
      </c>
      <c r="I176" s="17" t="n">
        <v>46205.6847222222</v>
      </c>
      <c r="J176" s="18" t="n">
        <v>19.8</v>
      </c>
      <c r="K176" s="16" t="n">
        <v>24</v>
      </c>
      <c r="L176" s="16" t="s">
        <v>62</v>
      </c>
    </row>
    <row r="177" customFormat="false" ht="15" hidden="false" customHeight="false" outlineLevel="0" collapsed="false">
      <c r="A177" s="16" t="n">
        <v>176</v>
      </c>
      <c r="B177" s="16" t="s">
        <v>38</v>
      </c>
      <c r="C177" s="16" t="s">
        <v>61</v>
      </c>
      <c r="D177" s="16" t="s">
        <v>16</v>
      </c>
      <c r="E177" s="16" t="s">
        <v>27</v>
      </c>
      <c r="F177" s="16" t="s">
        <v>19</v>
      </c>
      <c r="G177" s="16" t="n">
        <v>1</v>
      </c>
      <c r="H177" s="17" t="n">
        <v>46221.5666666667</v>
      </c>
      <c r="I177" s="17" t="n">
        <v>46222.7458333333</v>
      </c>
      <c r="J177" s="18" t="n">
        <v>28.3</v>
      </c>
      <c r="K177" s="16" t="n">
        <v>24</v>
      </c>
      <c r="L177" s="16" t="s">
        <v>64</v>
      </c>
    </row>
    <row r="178" customFormat="false" ht="15" hidden="false" customHeight="false" outlineLevel="0" collapsed="false">
      <c r="A178" s="16" t="n">
        <v>177</v>
      </c>
      <c r="B178" s="16" t="s">
        <v>39</v>
      </c>
      <c r="C178" s="16" t="s">
        <v>61</v>
      </c>
      <c r="D178" s="16" t="s">
        <v>16</v>
      </c>
      <c r="E178" s="16" t="s">
        <v>27</v>
      </c>
      <c r="F178" s="16" t="s">
        <v>19</v>
      </c>
      <c r="G178" s="16" t="n">
        <v>1</v>
      </c>
      <c r="H178" s="17" t="n">
        <v>46239.3736111111</v>
      </c>
      <c r="I178" s="17" t="n">
        <v>46239.7916666667</v>
      </c>
      <c r="J178" s="18" t="n">
        <v>10</v>
      </c>
      <c r="K178" s="16" t="n">
        <v>24</v>
      </c>
      <c r="L178" s="16" t="s">
        <v>62</v>
      </c>
    </row>
    <row r="179" customFormat="false" ht="15" hidden="false" customHeight="false" outlineLevel="0" collapsed="false">
      <c r="A179" s="16" t="n">
        <v>178</v>
      </c>
      <c r="B179" s="16" t="s">
        <v>45</v>
      </c>
      <c r="C179" s="16" t="s">
        <v>61</v>
      </c>
      <c r="D179" s="16" t="s">
        <v>20</v>
      </c>
      <c r="E179" s="16" t="s">
        <v>27</v>
      </c>
      <c r="F179" s="16" t="s">
        <v>19</v>
      </c>
      <c r="G179" s="16" t="n">
        <v>1</v>
      </c>
      <c r="H179" s="17" t="n">
        <v>46264.425</v>
      </c>
      <c r="I179" s="17" t="n">
        <v>46264.9097222222</v>
      </c>
      <c r="J179" s="18" t="n">
        <v>11.6</v>
      </c>
      <c r="K179" s="16" t="n">
        <v>24</v>
      </c>
      <c r="L179" s="16" t="s">
        <v>62</v>
      </c>
    </row>
    <row r="180" customFormat="false" ht="15" hidden="false" customHeight="false" outlineLevel="0" collapsed="false">
      <c r="A180" s="16" t="n">
        <v>179</v>
      </c>
      <c r="B180" s="16" t="s">
        <v>48</v>
      </c>
      <c r="C180" s="16" t="s">
        <v>63</v>
      </c>
      <c r="D180" s="16" t="s">
        <v>21</v>
      </c>
      <c r="E180" s="16" t="s">
        <v>27</v>
      </c>
      <c r="F180" s="16" t="s">
        <v>19</v>
      </c>
      <c r="G180" s="16" t="n">
        <v>2</v>
      </c>
      <c r="H180" s="17" t="n">
        <v>46224.3763888889</v>
      </c>
      <c r="I180" s="17" t="n">
        <v>46225.7180555556</v>
      </c>
      <c r="J180" s="18" t="n">
        <v>32.2</v>
      </c>
      <c r="K180" s="16" t="n">
        <v>24</v>
      </c>
      <c r="L180" s="16" t="s">
        <v>64</v>
      </c>
    </row>
    <row r="181" customFormat="false" ht="15" hidden="false" customHeight="false" outlineLevel="0" collapsed="false">
      <c r="A181" s="16" t="n">
        <v>180</v>
      </c>
      <c r="B181" s="16" t="s">
        <v>41</v>
      </c>
      <c r="C181" s="16" t="s">
        <v>61</v>
      </c>
      <c r="D181" s="16" t="s">
        <v>18</v>
      </c>
      <c r="E181" s="16" t="s">
        <v>26</v>
      </c>
      <c r="F181" s="16" t="s">
        <v>19</v>
      </c>
      <c r="G181" s="16" t="n">
        <v>1</v>
      </c>
      <c r="H181" s="17" t="n">
        <v>46252.5715277778</v>
      </c>
      <c r="I181" s="17" t="n">
        <v>46252.7909722222</v>
      </c>
      <c r="J181" s="18" t="n">
        <v>5.3</v>
      </c>
      <c r="K181" s="16" t="n">
        <v>4</v>
      </c>
      <c r="L181" s="16" t="s">
        <v>64</v>
      </c>
    </row>
    <row r="182" customFormat="false" ht="15" hidden="false" customHeight="false" outlineLevel="0" collapsed="false">
      <c r="A182" s="16" t="n">
        <v>181</v>
      </c>
      <c r="B182" s="16" t="s">
        <v>35</v>
      </c>
      <c r="C182" s="16" t="s">
        <v>61</v>
      </c>
      <c r="D182" s="16" t="s">
        <v>14</v>
      </c>
      <c r="E182" s="16" t="s">
        <v>27</v>
      </c>
      <c r="F182" s="16" t="s">
        <v>19</v>
      </c>
      <c r="G182" s="16" t="n">
        <v>2</v>
      </c>
      <c r="H182" s="17" t="n">
        <v>46247.1152777778</v>
      </c>
      <c r="I182" s="17" t="n">
        <v>46247.7534722222</v>
      </c>
      <c r="J182" s="18" t="n">
        <v>15.3</v>
      </c>
      <c r="K182" s="16" t="n">
        <v>24</v>
      </c>
      <c r="L182" s="16" t="s">
        <v>62</v>
      </c>
    </row>
    <row r="183" customFormat="false" ht="15" hidden="false" customHeight="false" outlineLevel="0" collapsed="false">
      <c r="A183" s="16" t="n">
        <v>182</v>
      </c>
      <c r="B183" s="16" t="s">
        <v>37</v>
      </c>
      <c r="C183" s="16" t="s">
        <v>61</v>
      </c>
      <c r="D183" s="16" t="s">
        <v>16</v>
      </c>
      <c r="E183" s="16" t="s">
        <v>26</v>
      </c>
      <c r="F183" s="16" t="s">
        <v>19</v>
      </c>
      <c r="G183" s="16" t="n">
        <v>1</v>
      </c>
      <c r="H183" s="17" t="n">
        <v>46259.1506944444</v>
      </c>
      <c r="I183" s="17" t="n">
        <v>46259.1861111111</v>
      </c>
      <c r="J183" s="18" t="n">
        <v>0.9</v>
      </c>
      <c r="K183" s="16" t="n">
        <v>4</v>
      </c>
      <c r="L183" s="16" t="s">
        <v>62</v>
      </c>
    </row>
    <row r="184" customFormat="false" ht="15" hidden="false" customHeight="false" outlineLevel="0" collapsed="false">
      <c r="A184" s="16" t="n">
        <v>183</v>
      </c>
      <c r="B184" s="16" t="s">
        <v>42</v>
      </c>
      <c r="C184" s="16" t="s">
        <v>61</v>
      </c>
      <c r="D184" s="16" t="s">
        <v>18</v>
      </c>
      <c r="E184" s="16" t="s">
        <v>27</v>
      </c>
      <c r="F184" s="16" t="s">
        <v>19</v>
      </c>
      <c r="G184" s="16" t="n">
        <v>1</v>
      </c>
      <c r="H184" s="17" t="n">
        <v>46258.3138888889</v>
      </c>
      <c r="I184" s="17" t="n">
        <v>46258.3673611111</v>
      </c>
      <c r="J184" s="18" t="n">
        <v>1.3</v>
      </c>
      <c r="K184" s="16" t="n">
        <v>24</v>
      </c>
      <c r="L184" s="16" t="s">
        <v>62</v>
      </c>
    </row>
    <row r="185" customFormat="false" ht="15" hidden="false" customHeight="false" outlineLevel="0" collapsed="false">
      <c r="A185" s="16" t="n">
        <v>184</v>
      </c>
      <c r="B185" s="16" t="s">
        <v>37</v>
      </c>
      <c r="C185" s="16" t="s">
        <v>61</v>
      </c>
      <c r="D185" s="16" t="s">
        <v>16</v>
      </c>
      <c r="E185" s="16" t="s">
        <v>27</v>
      </c>
      <c r="F185" s="16" t="s">
        <v>19</v>
      </c>
      <c r="G185" s="16" t="n">
        <v>1</v>
      </c>
      <c r="H185" s="17" t="n">
        <v>46269.5770833333</v>
      </c>
      <c r="I185" s="17" t="n">
        <v>46270.6479166667</v>
      </c>
      <c r="J185" s="18" t="n">
        <v>25.7</v>
      </c>
      <c r="K185" s="16" t="n">
        <v>24</v>
      </c>
      <c r="L185" s="16" t="s">
        <v>64</v>
      </c>
    </row>
    <row r="186" customFormat="false" ht="15" hidden="false" customHeight="false" outlineLevel="0" collapsed="false">
      <c r="A186" s="16" t="n">
        <v>185</v>
      </c>
      <c r="B186" s="16" t="s">
        <v>44</v>
      </c>
      <c r="C186" s="16" t="s">
        <v>61</v>
      </c>
      <c r="D186" s="16" t="s">
        <v>20</v>
      </c>
      <c r="E186" s="16" t="s">
        <v>27</v>
      </c>
      <c r="F186" s="16" t="s">
        <v>19</v>
      </c>
      <c r="G186" s="16" t="n">
        <v>1</v>
      </c>
      <c r="H186" s="17" t="n">
        <v>46228.2354166667</v>
      </c>
      <c r="I186" s="17" t="n">
        <v>46228.9972222222</v>
      </c>
      <c r="J186" s="18" t="n">
        <v>18.3</v>
      </c>
      <c r="K186" s="16" t="n">
        <v>24</v>
      </c>
      <c r="L186" s="16" t="s">
        <v>62</v>
      </c>
    </row>
    <row r="187" customFormat="false" ht="15" hidden="false" customHeight="false" outlineLevel="0" collapsed="false">
      <c r="A187" s="16" t="n">
        <v>186</v>
      </c>
      <c r="B187" s="16" t="s">
        <v>35</v>
      </c>
      <c r="C187" s="16" t="s">
        <v>61</v>
      </c>
      <c r="D187" s="16" t="s">
        <v>14</v>
      </c>
      <c r="E187" s="16" t="s">
        <v>28</v>
      </c>
      <c r="F187" s="16" t="s">
        <v>19</v>
      </c>
      <c r="G187" s="16" t="n">
        <v>1</v>
      </c>
      <c r="H187" s="17" t="n">
        <v>46285.0604166667</v>
      </c>
      <c r="I187" s="17" t="n">
        <v>46288.3298611111</v>
      </c>
      <c r="J187" s="18" t="n">
        <v>78.5</v>
      </c>
      <c r="K187" s="16" t="n">
        <v>72</v>
      </c>
      <c r="L187" s="16" t="s">
        <v>64</v>
      </c>
    </row>
    <row r="188" customFormat="false" ht="15" hidden="false" customHeight="false" outlineLevel="0" collapsed="false">
      <c r="A188" s="16" t="n">
        <v>187</v>
      </c>
      <c r="B188" s="16" t="s">
        <v>42</v>
      </c>
      <c r="C188" s="16" t="s">
        <v>61</v>
      </c>
      <c r="D188" s="16" t="s">
        <v>18</v>
      </c>
      <c r="E188" s="16" t="s">
        <v>28</v>
      </c>
      <c r="F188" s="16" t="s">
        <v>19</v>
      </c>
      <c r="G188" s="16" t="n">
        <v>2</v>
      </c>
      <c r="H188" s="17" t="n">
        <v>46275.3798611111</v>
      </c>
      <c r="I188" s="17" t="n">
        <v>46275.6916666667</v>
      </c>
      <c r="J188" s="18" t="n">
        <v>7.5</v>
      </c>
      <c r="K188" s="16" t="n">
        <v>72</v>
      </c>
      <c r="L188" s="16" t="s">
        <v>62</v>
      </c>
    </row>
    <row r="189" customFormat="false" ht="15" hidden="false" customHeight="false" outlineLevel="0" collapsed="false">
      <c r="A189" s="16" t="n">
        <v>188</v>
      </c>
      <c r="B189" s="16" t="s">
        <v>42</v>
      </c>
      <c r="C189" s="16" t="s">
        <v>61</v>
      </c>
      <c r="D189" s="16" t="s">
        <v>18</v>
      </c>
      <c r="E189" s="16" t="s">
        <v>28</v>
      </c>
      <c r="F189" s="16" t="s">
        <v>19</v>
      </c>
      <c r="G189" s="16" t="n">
        <v>1</v>
      </c>
      <c r="H189" s="17" t="n">
        <v>46218.6527777778</v>
      </c>
      <c r="I189" s="17" t="n">
        <v>46220.7611111111</v>
      </c>
      <c r="J189" s="18" t="n">
        <v>50.6</v>
      </c>
      <c r="K189" s="16" t="n">
        <v>72</v>
      </c>
      <c r="L189" s="16" t="s">
        <v>62</v>
      </c>
    </row>
    <row r="190" customFormat="false" ht="15" hidden="false" customHeight="false" outlineLevel="0" collapsed="false">
      <c r="A190" s="16" t="n">
        <v>189</v>
      </c>
      <c r="B190" s="16" t="s">
        <v>39</v>
      </c>
      <c r="C190" s="16" t="s">
        <v>61</v>
      </c>
      <c r="D190" s="16" t="s">
        <v>16</v>
      </c>
      <c r="E190" s="16" t="s">
        <v>26</v>
      </c>
      <c r="F190" s="16" t="s">
        <v>19</v>
      </c>
      <c r="G190" s="16" t="n">
        <v>1</v>
      </c>
      <c r="H190" s="17" t="n">
        <v>46250.4895833333</v>
      </c>
      <c r="I190" s="17" t="n">
        <v>46250.6201388889</v>
      </c>
      <c r="J190" s="18" t="n">
        <v>3.1</v>
      </c>
      <c r="K190" s="16" t="n">
        <v>4</v>
      </c>
      <c r="L190" s="16" t="s">
        <v>62</v>
      </c>
    </row>
    <row r="191" customFormat="false" ht="15" hidden="false" customHeight="false" outlineLevel="0" collapsed="false">
      <c r="A191" s="16" t="n">
        <v>190</v>
      </c>
      <c r="B191" s="16" t="s">
        <v>48</v>
      </c>
      <c r="C191" s="16" t="s">
        <v>63</v>
      </c>
      <c r="D191" s="16" t="s">
        <v>21</v>
      </c>
      <c r="E191" s="16" t="s">
        <v>28</v>
      </c>
      <c r="F191" s="16" t="s">
        <v>19</v>
      </c>
      <c r="G191" s="16" t="n">
        <v>1</v>
      </c>
      <c r="H191" s="17" t="n">
        <v>46289.2236111111</v>
      </c>
      <c r="I191" s="17" t="n">
        <v>46289.9638888889</v>
      </c>
      <c r="J191" s="18" t="n">
        <v>17.8</v>
      </c>
      <c r="K191" s="16" t="n">
        <v>72</v>
      </c>
      <c r="L191" s="16" t="s">
        <v>62</v>
      </c>
    </row>
    <row r="192" customFormat="false" ht="15" hidden="false" customHeight="false" outlineLevel="0" collapsed="false">
      <c r="A192" s="16" t="n">
        <v>191</v>
      </c>
      <c r="B192" s="16" t="s">
        <v>40</v>
      </c>
      <c r="C192" s="16" t="s">
        <v>61</v>
      </c>
      <c r="D192" s="16" t="s">
        <v>18</v>
      </c>
      <c r="E192" s="16" t="s">
        <v>27</v>
      </c>
      <c r="F192" s="16" t="s">
        <v>19</v>
      </c>
      <c r="G192" s="16" t="n">
        <v>1</v>
      </c>
      <c r="H192" s="17" t="n">
        <v>46259.2208333333</v>
      </c>
      <c r="I192" s="17" t="n">
        <v>46259.9326388889</v>
      </c>
      <c r="J192" s="18" t="n">
        <v>17.1</v>
      </c>
      <c r="K192" s="16" t="n">
        <v>24</v>
      </c>
      <c r="L192" s="16" t="s">
        <v>62</v>
      </c>
    </row>
    <row r="193" customFormat="false" ht="15" hidden="false" customHeight="false" outlineLevel="0" collapsed="false">
      <c r="A193" s="16" t="n">
        <v>192</v>
      </c>
      <c r="B193" s="16" t="s">
        <v>38</v>
      </c>
      <c r="C193" s="16" t="s">
        <v>61</v>
      </c>
      <c r="D193" s="16" t="s">
        <v>16</v>
      </c>
      <c r="E193" s="16" t="s">
        <v>28</v>
      </c>
      <c r="F193" s="16" t="s">
        <v>19</v>
      </c>
      <c r="G193" s="16" t="n">
        <v>1</v>
      </c>
      <c r="H193" s="17" t="n">
        <v>46258.7861111111</v>
      </c>
      <c r="I193" s="17" t="n">
        <v>46259.1291666667</v>
      </c>
      <c r="J193" s="18" t="n">
        <v>8.2</v>
      </c>
      <c r="K193" s="16" t="n">
        <v>72</v>
      </c>
      <c r="L193" s="16" t="s">
        <v>62</v>
      </c>
    </row>
    <row r="194" customFormat="false" ht="15" hidden="false" customHeight="false" outlineLevel="0" collapsed="false">
      <c r="A194" s="16" t="n">
        <v>193</v>
      </c>
      <c r="B194" s="16" t="s">
        <v>34</v>
      </c>
      <c r="C194" s="16" t="s">
        <v>61</v>
      </c>
      <c r="D194" s="16" t="s">
        <v>14</v>
      </c>
      <c r="E194" s="16" t="s">
        <v>28</v>
      </c>
      <c r="F194" s="16" t="s">
        <v>19</v>
      </c>
      <c r="G194" s="16" t="n">
        <v>2</v>
      </c>
      <c r="H194" s="17" t="n">
        <v>46264.8854166667</v>
      </c>
      <c r="I194" s="17" t="n">
        <v>46267.3159722222</v>
      </c>
      <c r="J194" s="18" t="n">
        <v>58.3</v>
      </c>
      <c r="K194" s="16" t="n">
        <v>72</v>
      </c>
      <c r="L194" s="16" t="s">
        <v>62</v>
      </c>
    </row>
    <row r="195" customFormat="false" ht="15" hidden="false" customHeight="false" outlineLevel="0" collapsed="false">
      <c r="A195" s="16" t="n">
        <v>194</v>
      </c>
      <c r="B195" s="16" t="s">
        <v>39</v>
      </c>
      <c r="C195" s="16" t="s">
        <v>61</v>
      </c>
      <c r="D195" s="16" t="s">
        <v>16</v>
      </c>
      <c r="E195" s="16" t="s">
        <v>27</v>
      </c>
      <c r="F195" s="16" t="s">
        <v>15</v>
      </c>
      <c r="G195" s="16" t="n">
        <v>1</v>
      </c>
      <c r="H195" s="17" t="n">
        <v>46234.6861111111</v>
      </c>
      <c r="I195" s="17"/>
      <c r="J195" s="18"/>
      <c r="K195" s="16" t="n">
        <v>24</v>
      </c>
      <c r="L195" s="16" t="s">
        <v>64</v>
      </c>
    </row>
    <row r="196" customFormat="false" ht="15" hidden="false" customHeight="false" outlineLevel="0" collapsed="false">
      <c r="A196" s="16" t="n">
        <v>195</v>
      </c>
      <c r="B196" s="16" t="s">
        <v>47</v>
      </c>
      <c r="C196" s="16" t="s">
        <v>63</v>
      </c>
      <c r="D196" s="16" t="s">
        <v>21</v>
      </c>
      <c r="E196" s="16" t="s">
        <v>26</v>
      </c>
      <c r="F196" s="16" t="s">
        <v>19</v>
      </c>
      <c r="G196" s="16" t="n">
        <v>1</v>
      </c>
      <c r="H196" s="17" t="n">
        <v>46233.9180555556</v>
      </c>
      <c r="I196" s="17" t="n">
        <v>46233.9319444444</v>
      </c>
      <c r="J196" s="18" t="n">
        <v>0.3</v>
      </c>
      <c r="K196" s="16" t="n">
        <v>4</v>
      </c>
      <c r="L196" s="16" t="s">
        <v>62</v>
      </c>
    </row>
    <row r="197" customFormat="false" ht="15" hidden="false" customHeight="false" outlineLevel="0" collapsed="false">
      <c r="A197" s="16" t="n">
        <v>196</v>
      </c>
      <c r="B197" s="16" t="s">
        <v>42</v>
      </c>
      <c r="C197" s="16" t="s">
        <v>61</v>
      </c>
      <c r="D197" s="16" t="s">
        <v>18</v>
      </c>
      <c r="E197" s="16" t="s">
        <v>26</v>
      </c>
      <c r="F197" s="16" t="s">
        <v>19</v>
      </c>
      <c r="G197" s="16" t="n">
        <v>1</v>
      </c>
      <c r="H197" s="17" t="n">
        <v>46246.5555555556</v>
      </c>
      <c r="I197" s="17" t="n">
        <v>46246.7729166667</v>
      </c>
      <c r="J197" s="18" t="n">
        <v>5.2</v>
      </c>
      <c r="K197" s="16" t="n">
        <v>4</v>
      </c>
      <c r="L197" s="16" t="s">
        <v>64</v>
      </c>
    </row>
    <row r="198" customFormat="false" ht="15" hidden="false" customHeight="false" outlineLevel="0" collapsed="false">
      <c r="A198" s="16" t="n">
        <v>197</v>
      </c>
      <c r="B198" s="16" t="s">
        <v>42</v>
      </c>
      <c r="C198" s="16" t="s">
        <v>61</v>
      </c>
      <c r="D198" s="16" t="s">
        <v>18</v>
      </c>
      <c r="E198" s="16" t="s">
        <v>27</v>
      </c>
      <c r="F198" s="16" t="s">
        <v>19</v>
      </c>
      <c r="G198" s="16" t="n">
        <v>1</v>
      </c>
      <c r="H198" s="17" t="n">
        <v>46242.4673611111</v>
      </c>
      <c r="I198" s="17" t="n">
        <v>46242.8840277778</v>
      </c>
      <c r="J198" s="18" t="n">
        <v>10</v>
      </c>
      <c r="K198" s="16" t="n">
        <v>24</v>
      </c>
      <c r="L198" s="16" t="s">
        <v>62</v>
      </c>
    </row>
    <row r="199" customFormat="false" ht="15" hidden="false" customHeight="false" outlineLevel="0" collapsed="false">
      <c r="A199" s="16" t="n">
        <v>198</v>
      </c>
      <c r="B199" s="16" t="s">
        <v>42</v>
      </c>
      <c r="C199" s="16" t="s">
        <v>61</v>
      </c>
      <c r="D199" s="16" t="s">
        <v>18</v>
      </c>
      <c r="E199" s="16" t="s">
        <v>27</v>
      </c>
      <c r="F199" s="16" t="s">
        <v>19</v>
      </c>
      <c r="G199" s="16" t="n">
        <v>1</v>
      </c>
      <c r="H199" s="17" t="n">
        <v>46277.8868055556</v>
      </c>
      <c r="I199" s="17" t="n">
        <v>46278.8013888889</v>
      </c>
      <c r="J199" s="18" t="n">
        <v>22</v>
      </c>
      <c r="K199" s="16" t="n">
        <v>24</v>
      </c>
      <c r="L199" s="16" t="s">
        <v>62</v>
      </c>
    </row>
    <row r="200" customFormat="false" ht="15" hidden="false" customHeight="false" outlineLevel="0" collapsed="false">
      <c r="A200" s="16" t="n">
        <v>199</v>
      </c>
      <c r="B200" s="16" t="s">
        <v>47</v>
      </c>
      <c r="C200" s="16" t="s">
        <v>63</v>
      </c>
      <c r="D200" s="16" t="s">
        <v>21</v>
      </c>
      <c r="E200" s="16" t="s">
        <v>27</v>
      </c>
      <c r="F200" s="16" t="s">
        <v>15</v>
      </c>
      <c r="G200" s="16" t="n">
        <v>1</v>
      </c>
      <c r="H200" s="17" t="n">
        <v>46288.0041666667</v>
      </c>
      <c r="I200" s="17"/>
      <c r="J200" s="18"/>
      <c r="K200" s="16" t="n">
        <v>24</v>
      </c>
      <c r="L200" s="16" t="s">
        <v>64</v>
      </c>
    </row>
    <row r="201" customFormat="false" ht="15" hidden="false" customHeight="false" outlineLevel="0" collapsed="false">
      <c r="A201" s="16" t="n">
        <v>200</v>
      </c>
      <c r="B201" s="16" t="s">
        <v>39</v>
      </c>
      <c r="C201" s="16" t="s">
        <v>61</v>
      </c>
      <c r="D201" s="16" t="s">
        <v>16</v>
      </c>
      <c r="E201" s="16" t="s">
        <v>28</v>
      </c>
      <c r="F201" s="16" t="s">
        <v>19</v>
      </c>
      <c r="G201" s="16" t="n">
        <v>1</v>
      </c>
      <c r="H201" s="17" t="n">
        <v>46232.6694444444</v>
      </c>
      <c r="I201" s="17" t="n">
        <v>46233.3770833333</v>
      </c>
      <c r="J201" s="18" t="n">
        <v>17</v>
      </c>
      <c r="K201" s="16" t="n">
        <v>72</v>
      </c>
      <c r="L201" s="16" t="s">
        <v>62</v>
      </c>
    </row>
    <row r="202" customFormat="false" ht="15" hidden="false" customHeight="false" outlineLevel="0" collapsed="false">
      <c r="A202" s="16" t="n">
        <v>201</v>
      </c>
      <c r="B202" s="16" t="s">
        <v>41</v>
      </c>
      <c r="C202" s="16" t="s">
        <v>61</v>
      </c>
      <c r="D202" s="16" t="s">
        <v>18</v>
      </c>
      <c r="E202" s="16" t="s">
        <v>27</v>
      </c>
      <c r="F202" s="16" t="s">
        <v>19</v>
      </c>
      <c r="G202" s="16" t="n">
        <v>1</v>
      </c>
      <c r="H202" s="17" t="n">
        <v>46224.5743055556</v>
      </c>
      <c r="I202" s="17" t="n">
        <v>46225.4659722222</v>
      </c>
      <c r="J202" s="18" t="n">
        <v>21.4</v>
      </c>
      <c r="K202" s="16" t="n">
        <v>24</v>
      </c>
      <c r="L202" s="16" t="s">
        <v>62</v>
      </c>
    </row>
    <row r="203" customFormat="false" ht="15" hidden="false" customHeight="false" outlineLevel="0" collapsed="false">
      <c r="A203" s="16" t="n">
        <v>202</v>
      </c>
      <c r="B203" s="16" t="s">
        <v>38</v>
      </c>
      <c r="C203" s="16" t="s">
        <v>61</v>
      </c>
      <c r="D203" s="16" t="s">
        <v>16</v>
      </c>
      <c r="E203" s="16" t="s">
        <v>27</v>
      </c>
      <c r="F203" s="16" t="s">
        <v>19</v>
      </c>
      <c r="G203" s="16" t="n">
        <v>1</v>
      </c>
      <c r="H203" s="17" t="n">
        <v>46239.6215277778</v>
      </c>
      <c r="I203" s="17" t="n">
        <v>46239.6902777778</v>
      </c>
      <c r="J203" s="18" t="n">
        <v>1.7</v>
      </c>
      <c r="K203" s="16" t="n">
        <v>24</v>
      </c>
      <c r="L203" s="16" t="s">
        <v>62</v>
      </c>
    </row>
    <row r="204" customFormat="false" ht="15" hidden="false" customHeight="false" outlineLevel="0" collapsed="false">
      <c r="A204" s="16" t="n">
        <v>203</v>
      </c>
      <c r="B204" s="16" t="s">
        <v>39</v>
      </c>
      <c r="C204" s="16" t="s">
        <v>61</v>
      </c>
      <c r="D204" s="16" t="s">
        <v>16</v>
      </c>
      <c r="E204" s="16" t="s">
        <v>28</v>
      </c>
      <c r="F204" s="16" t="s">
        <v>19</v>
      </c>
      <c r="G204" s="16" t="n">
        <v>1</v>
      </c>
      <c r="H204" s="17" t="n">
        <v>46224.7284722222</v>
      </c>
      <c r="I204" s="17" t="n">
        <v>46226.9222222222</v>
      </c>
      <c r="J204" s="18" t="n">
        <v>52.7</v>
      </c>
      <c r="K204" s="16" t="n">
        <v>72</v>
      </c>
      <c r="L204" s="16" t="s">
        <v>62</v>
      </c>
    </row>
    <row r="205" customFormat="false" ht="15" hidden="false" customHeight="false" outlineLevel="0" collapsed="false">
      <c r="A205" s="16" t="n">
        <v>204</v>
      </c>
      <c r="B205" s="16" t="s">
        <v>44</v>
      </c>
      <c r="C205" s="16" t="s">
        <v>61</v>
      </c>
      <c r="D205" s="16" t="s">
        <v>20</v>
      </c>
      <c r="E205" s="16" t="s">
        <v>28</v>
      </c>
      <c r="F205" s="16" t="s">
        <v>19</v>
      </c>
      <c r="G205" s="16" t="n">
        <v>1</v>
      </c>
      <c r="H205" s="17" t="n">
        <v>46244.8701388889</v>
      </c>
      <c r="I205" s="17" t="n">
        <v>46247.5326388889</v>
      </c>
      <c r="J205" s="18" t="n">
        <v>63.9</v>
      </c>
      <c r="K205" s="16" t="n">
        <v>72</v>
      </c>
      <c r="L205" s="16" t="s">
        <v>62</v>
      </c>
    </row>
    <row r="206" customFormat="false" ht="15" hidden="false" customHeight="false" outlineLevel="0" collapsed="false">
      <c r="A206" s="16" t="n">
        <v>205</v>
      </c>
      <c r="B206" s="16" t="s">
        <v>45</v>
      </c>
      <c r="C206" s="16" t="s">
        <v>61</v>
      </c>
      <c r="D206" s="16" t="s">
        <v>20</v>
      </c>
      <c r="E206" s="16" t="s">
        <v>27</v>
      </c>
      <c r="F206" s="16" t="s">
        <v>19</v>
      </c>
      <c r="G206" s="16" t="n">
        <v>1</v>
      </c>
      <c r="H206" s="17" t="n">
        <v>46248.0756944444</v>
      </c>
      <c r="I206" s="17" t="n">
        <v>46248.2041666667</v>
      </c>
      <c r="J206" s="18" t="n">
        <v>3.1</v>
      </c>
      <c r="K206" s="16" t="n">
        <v>24</v>
      </c>
      <c r="L206" s="16" t="s">
        <v>62</v>
      </c>
    </row>
    <row r="207" customFormat="false" ht="15" hidden="false" customHeight="false" outlineLevel="0" collapsed="false">
      <c r="A207" s="16" t="n">
        <v>206</v>
      </c>
      <c r="B207" s="16" t="s">
        <v>43</v>
      </c>
      <c r="C207" s="16" t="s">
        <v>61</v>
      </c>
      <c r="D207" s="16" t="s">
        <v>20</v>
      </c>
      <c r="E207" s="16" t="s">
        <v>27</v>
      </c>
      <c r="F207" s="16" t="s">
        <v>19</v>
      </c>
      <c r="G207" s="16" t="n">
        <v>1</v>
      </c>
      <c r="H207" s="17" t="n">
        <v>46287.9618055556</v>
      </c>
      <c r="I207" s="17" t="n">
        <v>46288.1243055556</v>
      </c>
      <c r="J207" s="18" t="n">
        <v>3.9</v>
      </c>
      <c r="K207" s="16" t="n">
        <v>24</v>
      </c>
      <c r="L207" s="16" t="s">
        <v>62</v>
      </c>
    </row>
    <row r="208" customFormat="false" ht="15" hidden="false" customHeight="false" outlineLevel="0" collapsed="false">
      <c r="A208" s="16" t="n">
        <v>207</v>
      </c>
      <c r="B208" s="16" t="s">
        <v>33</v>
      </c>
      <c r="C208" s="16" t="s">
        <v>61</v>
      </c>
      <c r="D208" s="16" t="s">
        <v>14</v>
      </c>
      <c r="E208" s="16" t="s">
        <v>28</v>
      </c>
      <c r="F208" s="16" t="s">
        <v>19</v>
      </c>
      <c r="G208" s="16" t="n">
        <v>1</v>
      </c>
      <c r="H208" s="17" t="n">
        <v>46238.7958333333</v>
      </c>
      <c r="I208" s="17" t="n">
        <v>46241.4256944444</v>
      </c>
      <c r="J208" s="18" t="n">
        <v>63.1</v>
      </c>
      <c r="K208" s="16" t="n">
        <v>72</v>
      </c>
      <c r="L208" s="16" t="s">
        <v>62</v>
      </c>
    </row>
    <row r="209" customFormat="false" ht="15" hidden="false" customHeight="false" outlineLevel="0" collapsed="false">
      <c r="A209" s="16" t="n">
        <v>208</v>
      </c>
      <c r="B209" s="16" t="s">
        <v>41</v>
      </c>
      <c r="C209" s="16" t="s">
        <v>61</v>
      </c>
      <c r="D209" s="16" t="s">
        <v>18</v>
      </c>
      <c r="E209" s="16" t="s">
        <v>28</v>
      </c>
      <c r="F209" s="16" t="s">
        <v>19</v>
      </c>
      <c r="G209" s="16" t="n">
        <v>1</v>
      </c>
      <c r="H209" s="17" t="n">
        <v>46286.5125</v>
      </c>
      <c r="I209" s="17" t="n">
        <v>46288.0840277778</v>
      </c>
      <c r="J209" s="18" t="n">
        <v>37.7</v>
      </c>
      <c r="K209" s="16" t="n">
        <v>72</v>
      </c>
      <c r="L209" s="16" t="s">
        <v>62</v>
      </c>
    </row>
    <row r="210" customFormat="false" ht="15" hidden="false" customHeight="false" outlineLevel="0" collapsed="false">
      <c r="A210" s="16" t="n">
        <v>209</v>
      </c>
      <c r="B210" s="16" t="s">
        <v>37</v>
      </c>
      <c r="C210" s="16" t="s">
        <v>61</v>
      </c>
      <c r="D210" s="16" t="s">
        <v>16</v>
      </c>
      <c r="E210" s="16" t="s">
        <v>27</v>
      </c>
      <c r="F210" s="16" t="s">
        <v>15</v>
      </c>
      <c r="G210" s="16" t="n">
        <v>1</v>
      </c>
      <c r="H210" s="17" t="n">
        <v>46279.3798611111</v>
      </c>
      <c r="I210" s="17"/>
      <c r="J210" s="18"/>
      <c r="K210" s="16" t="n">
        <v>24</v>
      </c>
      <c r="L210" s="16" t="s">
        <v>64</v>
      </c>
    </row>
    <row r="211" customFormat="false" ht="15" hidden="false" customHeight="false" outlineLevel="0" collapsed="false">
      <c r="A211" s="16" t="n">
        <v>210</v>
      </c>
      <c r="B211" s="16" t="s">
        <v>38</v>
      </c>
      <c r="C211" s="16" t="s">
        <v>61</v>
      </c>
      <c r="D211" s="16" t="s">
        <v>16</v>
      </c>
      <c r="E211" s="16" t="s">
        <v>26</v>
      </c>
      <c r="F211" s="16" t="s">
        <v>19</v>
      </c>
      <c r="G211" s="16" t="n">
        <v>1</v>
      </c>
      <c r="H211" s="17" t="n">
        <v>46251.8791666667</v>
      </c>
      <c r="I211" s="17" t="n">
        <v>46252.0902777778</v>
      </c>
      <c r="J211" s="18" t="n">
        <v>5.1</v>
      </c>
      <c r="K211" s="16" t="n">
        <v>4</v>
      </c>
      <c r="L211" s="16" t="s">
        <v>64</v>
      </c>
    </row>
    <row r="212" customFormat="false" ht="15" hidden="false" customHeight="false" outlineLevel="0" collapsed="false">
      <c r="A212" s="16" t="n">
        <v>211</v>
      </c>
      <c r="B212" s="16" t="s">
        <v>34</v>
      </c>
      <c r="C212" s="16" t="s">
        <v>61</v>
      </c>
      <c r="D212" s="16" t="s">
        <v>14</v>
      </c>
      <c r="E212" s="16" t="s">
        <v>27</v>
      </c>
      <c r="F212" s="16" t="s">
        <v>19</v>
      </c>
      <c r="G212" s="16" t="n">
        <v>1</v>
      </c>
      <c r="H212" s="17" t="n">
        <v>46220.0923611111</v>
      </c>
      <c r="I212" s="17" t="n">
        <v>46220.5576388889</v>
      </c>
      <c r="J212" s="18" t="n">
        <v>11.2</v>
      </c>
      <c r="K212" s="16" t="n">
        <v>24</v>
      </c>
      <c r="L212" s="16" t="s">
        <v>62</v>
      </c>
    </row>
    <row r="213" customFormat="false" ht="15" hidden="false" customHeight="false" outlineLevel="0" collapsed="false">
      <c r="A213" s="16" t="n">
        <v>212</v>
      </c>
      <c r="B213" s="16" t="s">
        <v>43</v>
      </c>
      <c r="C213" s="16" t="s">
        <v>61</v>
      </c>
      <c r="D213" s="16" t="s">
        <v>20</v>
      </c>
      <c r="E213" s="16" t="s">
        <v>26</v>
      </c>
      <c r="F213" s="16" t="s">
        <v>15</v>
      </c>
      <c r="G213" s="16" t="n">
        <v>1</v>
      </c>
      <c r="H213" s="17" t="n">
        <v>46286.7895833333</v>
      </c>
      <c r="I213" s="17"/>
      <c r="J213" s="18"/>
      <c r="K213" s="16" t="n">
        <v>4</v>
      </c>
      <c r="L213" s="16" t="s">
        <v>64</v>
      </c>
    </row>
    <row r="214" customFormat="false" ht="15" hidden="false" customHeight="false" outlineLevel="0" collapsed="false">
      <c r="A214" s="16" t="n">
        <v>213</v>
      </c>
      <c r="B214" s="16" t="s">
        <v>37</v>
      </c>
      <c r="C214" s="16" t="s">
        <v>61</v>
      </c>
      <c r="D214" s="16" t="s">
        <v>16</v>
      </c>
      <c r="E214" s="16" t="s">
        <v>27</v>
      </c>
      <c r="F214" s="16" t="s">
        <v>19</v>
      </c>
      <c r="G214" s="16" t="n">
        <v>1</v>
      </c>
      <c r="H214" s="17" t="n">
        <v>46254.7055555556</v>
      </c>
      <c r="I214" s="17" t="n">
        <v>46254.7354166667</v>
      </c>
      <c r="J214" s="18" t="n">
        <v>0.7</v>
      </c>
      <c r="K214" s="16" t="n">
        <v>24</v>
      </c>
      <c r="L214" s="16" t="s">
        <v>62</v>
      </c>
    </row>
    <row r="215" customFormat="false" ht="15" hidden="false" customHeight="false" outlineLevel="0" collapsed="false">
      <c r="A215" s="16" t="n">
        <v>214</v>
      </c>
      <c r="B215" s="16" t="s">
        <v>34</v>
      </c>
      <c r="C215" s="16" t="s">
        <v>61</v>
      </c>
      <c r="D215" s="16" t="s">
        <v>14</v>
      </c>
      <c r="E215" s="16" t="s">
        <v>27</v>
      </c>
      <c r="F215" s="16" t="s">
        <v>19</v>
      </c>
      <c r="G215" s="16" t="n">
        <v>1</v>
      </c>
      <c r="H215" s="17" t="n">
        <v>46221.1527777778</v>
      </c>
      <c r="I215" s="17" t="n">
        <v>46222.2986111111</v>
      </c>
      <c r="J215" s="18" t="n">
        <v>27.5</v>
      </c>
      <c r="K215" s="16" t="n">
        <v>24</v>
      </c>
      <c r="L215" s="16" t="s">
        <v>64</v>
      </c>
    </row>
    <row r="216" customFormat="false" ht="15" hidden="false" customHeight="false" outlineLevel="0" collapsed="false">
      <c r="A216" s="16" t="n">
        <v>215</v>
      </c>
      <c r="B216" s="16" t="s">
        <v>35</v>
      </c>
      <c r="C216" s="16" t="s">
        <v>61</v>
      </c>
      <c r="D216" s="16" t="s">
        <v>14</v>
      </c>
      <c r="E216" s="16" t="s">
        <v>27</v>
      </c>
      <c r="F216" s="16" t="s">
        <v>19</v>
      </c>
      <c r="G216" s="16" t="n">
        <v>2</v>
      </c>
      <c r="H216" s="17" t="n">
        <v>46270.6868055556</v>
      </c>
      <c r="I216" s="17" t="n">
        <v>46272.4548611111</v>
      </c>
      <c r="J216" s="18" t="n">
        <v>42.4</v>
      </c>
      <c r="K216" s="16" t="n">
        <v>24</v>
      </c>
      <c r="L216" s="16" t="s">
        <v>64</v>
      </c>
    </row>
    <row r="217" customFormat="false" ht="15" hidden="false" customHeight="false" outlineLevel="0" collapsed="false">
      <c r="A217" s="16" t="n">
        <v>216</v>
      </c>
      <c r="B217" s="16" t="s">
        <v>41</v>
      </c>
      <c r="C217" s="16" t="s">
        <v>61</v>
      </c>
      <c r="D217" s="16" t="s">
        <v>18</v>
      </c>
      <c r="E217" s="16" t="s">
        <v>28</v>
      </c>
      <c r="F217" s="16" t="s">
        <v>13</v>
      </c>
      <c r="G217" s="16" t="n">
        <v>1</v>
      </c>
      <c r="H217" s="17" t="n">
        <v>46293.2604166667</v>
      </c>
      <c r="I217" s="17"/>
      <c r="J217" s="18"/>
      <c r="K217" s="16" t="n">
        <v>72</v>
      </c>
      <c r="L217" s="16" t="s">
        <v>62</v>
      </c>
    </row>
    <row r="218" customFormat="false" ht="15" hidden="false" customHeight="false" outlineLevel="0" collapsed="false">
      <c r="A218" s="16" t="n">
        <v>217</v>
      </c>
      <c r="B218" s="16" t="s">
        <v>48</v>
      </c>
      <c r="C218" s="16" t="s">
        <v>63</v>
      </c>
      <c r="D218" s="16" t="s">
        <v>21</v>
      </c>
      <c r="E218" s="16" t="s">
        <v>26</v>
      </c>
      <c r="F218" s="16" t="s">
        <v>19</v>
      </c>
      <c r="G218" s="16" t="n">
        <v>1</v>
      </c>
      <c r="H218" s="17" t="n">
        <v>46253.35625</v>
      </c>
      <c r="I218" s="17" t="n">
        <v>46253.4583333333</v>
      </c>
      <c r="J218" s="18" t="n">
        <v>2.5</v>
      </c>
      <c r="K218" s="16" t="n">
        <v>4</v>
      </c>
      <c r="L218" s="16" t="s">
        <v>62</v>
      </c>
    </row>
    <row r="219" customFormat="false" ht="15" hidden="false" customHeight="false" outlineLevel="0" collapsed="false">
      <c r="A219" s="16" t="n">
        <v>218</v>
      </c>
      <c r="B219" s="16" t="s">
        <v>40</v>
      </c>
      <c r="C219" s="16" t="s">
        <v>61</v>
      </c>
      <c r="D219" s="16" t="s">
        <v>18</v>
      </c>
      <c r="E219" s="16" t="s">
        <v>27</v>
      </c>
      <c r="F219" s="16" t="s">
        <v>19</v>
      </c>
      <c r="G219" s="16" t="n">
        <v>1</v>
      </c>
      <c r="H219" s="17" t="n">
        <v>46261.1263888889</v>
      </c>
      <c r="I219" s="17" t="n">
        <v>46262.4972222222</v>
      </c>
      <c r="J219" s="18" t="n">
        <v>32.9</v>
      </c>
      <c r="K219" s="16" t="n">
        <v>24</v>
      </c>
      <c r="L219" s="16" t="s">
        <v>64</v>
      </c>
    </row>
    <row r="220" customFormat="false" ht="15" hidden="false" customHeight="false" outlineLevel="0" collapsed="false">
      <c r="A220" s="16" t="n">
        <v>219</v>
      </c>
      <c r="B220" s="16" t="s">
        <v>45</v>
      </c>
      <c r="C220" s="16" t="s">
        <v>61</v>
      </c>
      <c r="D220" s="16" t="s">
        <v>20</v>
      </c>
      <c r="E220" s="16" t="s">
        <v>27</v>
      </c>
      <c r="F220" s="16" t="s">
        <v>19</v>
      </c>
      <c r="G220" s="16" t="n">
        <v>1</v>
      </c>
      <c r="H220" s="17" t="n">
        <v>46219.6395833333</v>
      </c>
      <c r="I220" s="17" t="n">
        <v>46220.1798611111</v>
      </c>
      <c r="J220" s="18" t="n">
        <v>13</v>
      </c>
      <c r="K220" s="16" t="n">
        <v>24</v>
      </c>
      <c r="L220" s="16" t="s">
        <v>62</v>
      </c>
    </row>
    <row r="221" customFormat="false" ht="15" hidden="false" customHeight="false" outlineLevel="0" collapsed="false">
      <c r="A221" s="16" t="n">
        <v>220</v>
      </c>
      <c r="B221" s="16" t="s">
        <v>46</v>
      </c>
      <c r="C221" s="16" t="s">
        <v>63</v>
      </c>
      <c r="D221" s="16" t="s">
        <v>21</v>
      </c>
      <c r="E221" s="16" t="s">
        <v>27</v>
      </c>
      <c r="F221" s="16" t="s">
        <v>19</v>
      </c>
      <c r="G221" s="16" t="n">
        <v>1</v>
      </c>
      <c r="H221" s="17" t="n">
        <v>46268.9319444444</v>
      </c>
      <c r="I221" s="17" t="n">
        <v>46269.1236111111</v>
      </c>
      <c r="J221" s="18" t="n">
        <v>4.6</v>
      </c>
      <c r="K221" s="16" t="n">
        <v>24</v>
      </c>
      <c r="L221" s="16" t="s">
        <v>62</v>
      </c>
    </row>
    <row r="222" customFormat="false" ht="15" hidden="false" customHeight="false" outlineLevel="0" collapsed="false">
      <c r="A222" s="16" t="n">
        <v>221</v>
      </c>
      <c r="B222" s="16" t="s">
        <v>48</v>
      </c>
      <c r="C222" s="16" t="s">
        <v>63</v>
      </c>
      <c r="D222" s="16" t="s">
        <v>21</v>
      </c>
      <c r="E222" s="16" t="s">
        <v>26</v>
      </c>
      <c r="F222" s="16" t="s">
        <v>19</v>
      </c>
      <c r="G222" s="16" t="n">
        <v>1</v>
      </c>
      <c r="H222" s="17" t="n">
        <v>46272.6784722222</v>
      </c>
      <c r="I222" s="17" t="n">
        <v>46272.8659722222</v>
      </c>
      <c r="J222" s="18" t="n">
        <v>4.5</v>
      </c>
      <c r="K222" s="16" t="n">
        <v>4</v>
      </c>
      <c r="L222" s="16" t="s">
        <v>64</v>
      </c>
    </row>
    <row r="223" customFormat="false" ht="15" hidden="false" customHeight="false" outlineLevel="0" collapsed="false">
      <c r="A223" s="16" t="n">
        <v>222</v>
      </c>
      <c r="B223" s="16" t="s">
        <v>48</v>
      </c>
      <c r="C223" s="16" t="s">
        <v>63</v>
      </c>
      <c r="D223" s="16" t="s">
        <v>21</v>
      </c>
      <c r="E223" s="16" t="s">
        <v>28</v>
      </c>
      <c r="F223" s="16" t="s">
        <v>19</v>
      </c>
      <c r="G223" s="16" t="n">
        <v>1</v>
      </c>
      <c r="H223" s="17" t="n">
        <v>46252.5416666667</v>
      </c>
      <c r="I223" s="17" t="n">
        <v>46256.3854166667</v>
      </c>
      <c r="J223" s="18" t="n">
        <v>92.2</v>
      </c>
      <c r="K223" s="16" t="n">
        <v>72</v>
      </c>
      <c r="L223" s="16" t="s">
        <v>64</v>
      </c>
    </row>
    <row r="224" customFormat="false" ht="15" hidden="false" customHeight="false" outlineLevel="0" collapsed="false">
      <c r="A224" s="16" t="n">
        <v>223</v>
      </c>
      <c r="B224" s="16" t="s">
        <v>37</v>
      </c>
      <c r="C224" s="16" t="s">
        <v>61</v>
      </c>
      <c r="D224" s="16" t="s">
        <v>16</v>
      </c>
      <c r="E224" s="16" t="s">
        <v>27</v>
      </c>
      <c r="F224" s="16" t="s">
        <v>19</v>
      </c>
      <c r="G224" s="16" t="n">
        <v>1</v>
      </c>
      <c r="H224" s="17" t="n">
        <v>46260.0951388889</v>
      </c>
      <c r="I224" s="17" t="n">
        <v>46260.6916666667</v>
      </c>
      <c r="J224" s="18" t="n">
        <v>14.3</v>
      </c>
      <c r="K224" s="16" t="n">
        <v>24</v>
      </c>
      <c r="L224" s="16" t="s">
        <v>62</v>
      </c>
    </row>
    <row r="225" customFormat="false" ht="15" hidden="false" customHeight="false" outlineLevel="0" collapsed="false">
      <c r="A225" s="16" t="n">
        <v>224</v>
      </c>
      <c r="B225" s="16" t="s">
        <v>47</v>
      </c>
      <c r="C225" s="16" t="s">
        <v>63</v>
      </c>
      <c r="D225" s="16" t="s">
        <v>21</v>
      </c>
      <c r="E225" s="16" t="s">
        <v>27</v>
      </c>
      <c r="F225" s="16" t="s">
        <v>15</v>
      </c>
      <c r="G225" s="16" t="n">
        <v>1</v>
      </c>
      <c r="H225" s="17" t="n">
        <v>46266.4041666667</v>
      </c>
      <c r="I225" s="17"/>
      <c r="J225" s="18"/>
      <c r="K225" s="16" t="n">
        <v>24</v>
      </c>
      <c r="L225" s="16" t="s">
        <v>64</v>
      </c>
    </row>
    <row r="226" customFormat="false" ht="15" hidden="false" customHeight="false" outlineLevel="0" collapsed="false">
      <c r="A226" s="16" t="n">
        <v>225</v>
      </c>
      <c r="B226" s="16" t="s">
        <v>43</v>
      </c>
      <c r="C226" s="16" t="s">
        <v>61</v>
      </c>
      <c r="D226" s="16" t="s">
        <v>20</v>
      </c>
      <c r="E226" s="16" t="s">
        <v>27</v>
      </c>
      <c r="F226" s="16" t="s">
        <v>19</v>
      </c>
      <c r="G226" s="16" t="n">
        <v>1</v>
      </c>
      <c r="H226" s="17" t="n">
        <v>46218.8333333333</v>
      </c>
      <c r="I226" s="17" t="n">
        <v>46219.9083333333</v>
      </c>
      <c r="J226" s="18" t="n">
        <v>25.8</v>
      </c>
      <c r="K226" s="16" t="n">
        <v>24</v>
      </c>
      <c r="L226" s="16" t="s">
        <v>64</v>
      </c>
    </row>
    <row r="227" customFormat="false" ht="15" hidden="false" customHeight="false" outlineLevel="0" collapsed="false">
      <c r="A227" s="16" t="n">
        <v>226</v>
      </c>
      <c r="B227" s="16" t="s">
        <v>33</v>
      </c>
      <c r="C227" s="16" t="s">
        <v>61</v>
      </c>
      <c r="D227" s="16" t="s">
        <v>14</v>
      </c>
      <c r="E227" s="16" t="s">
        <v>28</v>
      </c>
      <c r="F227" s="16" t="s">
        <v>19</v>
      </c>
      <c r="G227" s="16" t="n">
        <v>1</v>
      </c>
      <c r="H227" s="17" t="n">
        <v>46245.425</v>
      </c>
      <c r="I227" s="17" t="n">
        <v>46248.45</v>
      </c>
      <c r="J227" s="18" t="n">
        <v>72.6</v>
      </c>
      <c r="K227" s="16" t="n">
        <v>72</v>
      </c>
      <c r="L227" s="16" t="s">
        <v>64</v>
      </c>
    </row>
    <row r="228" customFormat="false" ht="15" hidden="false" customHeight="false" outlineLevel="0" collapsed="false">
      <c r="A228" s="16" t="n">
        <v>227</v>
      </c>
      <c r="B228" s="16" t="s">
        <v>36</v>
      </c>
      <c r="C228" s="16" t="s">
        <v>63</v>
      </c>
      <c r="D228" s="16" t="s">
        <v>14</v>
      </c>
      <c r="E228" s="16" t="s">
        <v>28</v>
      </c>
      <c r="F228" s="16" t="s">
        <v>19</v>
      </c>
      <c r="G228" s="16" t="n">
        <v>1</v>
      </c>
      <c r="H228" s="17" t="n">
        <v>46230.8993055556</v>
      </c>
      <c r="I228" s="17" t="n">
        <v>46233.7569444445</v>
      </c>
      <c r="J228" s="18" t="n">
        <v>68.6</v>
      </c>
      <c r="K228" s="16" t="n">
        <v>72</v>
      </c>
      <c r="L228" s="16" t="s">
        <v>62</v>
      </c>
    </row>
    <row r="229" customFormat="false" ht="15" hidden="false" customHeight="false" outlineLevel="0" collapsed="false">
      <c r="A229" s="16" t="n">
        <v>228</v>
      </c>
      <c r="B229" s="16" t="s">
        <v>33</v>
      </c>
      <c r="C229" s="16" t="s">
        <v>61</v>
      </c>
      <c r="D229" s="16" t="s">
        <v>14</v>
      </c>
      <c r="E229" s="16" t="s">
        <v>26</v>
      </c>
      <c r="F229" s="16" t="s">
        <v>13</v>
      </c>
      <c r="G229" s="16" t="n">
        <v>1</v>
      </c>
      <c r="H229" s="17" t="n">
        <v>46273.0111111111</v>
      </c>
      <c r="I229" s="17"/>
      <c r="J229" s="18"/>
      <c r="K229" s="16" t="n">
        <v>4</v>
      </c>
      <c r="L229" s="16" t="s">
        <v>64</v>
      </c>
    </row>
    <row r="230" customFormat="false" ht="15" hidden="false" customHeight="false" outlineLevel="0" collapsed="false">
      <c r="A230" s="16" t="n">
        <v>229</v>
      </c>
      <c r="B230" s="16" t="s">
        <v>44</v>
      </c>
      <c r="C230" s="16" t="s">
        <v>61</v>
      </c>
      <c r="D230" s="16" t="s">
        <v>20</v>
      </c>
      <c r="E230" s="16" t="s">
        <v>27</v>
      </c>
      <c r="F230" s="16" t="s">
        <v>19</v>
      </c>
      <c r="G230" s="16" t="n">
        <v>1</v>
      </c>
      <c r="H230" s="17" t="n">
        <v>46209.0736111111</v>
      </c>
      <c r="I230" s="17" t="n">
        <v>46209.7208333333</v>
      </c>
      <c r="J230" s="18" t="n">
        <v>15.5</v>
      </c>
      <c r="K230" s="16" t="n">
        <v>24</v>
      </c>
      <c r="L230" s="16" t="s">
        <v>62</v>
      </c>
    </row>
    <row r="231" customFormat="false" ht="15" hidden="false" customHeight="false" outlineLevel="0" collapsed="false">
      <c r="A231" s="16" t="n">
        <v>230</v>
      </c>
      <c r="B231" s="16" t="s">
        <v>45</v>
      </c>
      <c r="C231" s="16" t="s">
        <v>61</v>
      </c>
      <c r="D231" s="16" t="s">
        <v>20</v>
      </c>
      <c r="E231" s="16" t="s">
        <v>27</v>
      </c>
      <c r="F231" s="16" t="s">
        <v>19</v>
      </c>
      <c r="G231" s="16" t="n">
        <v>2</v>
      </c>
      <c r="H231" s="17" t="n">
        <v>46260.4868055556</v>
      </c>
      <c r="I231" s="17" t="n">
        <v>46262.36875</v>
      </c>
      <c r="J231" s="18" t="n">
        <v>45.2</v>
      </c>
      <c r="K231" s="16" t="n">
        <v>24</v>
      </c>
      <c r="L231" s="16" t="s">
        <v>64</v>
      </c>
    </row>
    <row r="232" customFormat="false" ht="15" hidden="false" customHeight="false" outlineLevel="0" collapsed="false">
      <c r="A232" s="16" t="n">
        <v>231</v>
      </c>
      <c r="B232" s="16" t="s">
        <v>34</v>
      </c>
      <c r="C232" s="16" t="s">
        <v>61</v>
      </c>
      <c r="D232" s="16" t="s">
        <v>14</v>
      </c>
      <c r="E232" s="16" t="s">
        <v>27</v>
      </c>
      <c r="F232" s="16" t="s">
        <v>15</v>
      </c>
      <c r="G232" s="16" t="n">
        <v>1</v>
      </c>
      <c r="H232" s="17" t="n">
        <v>46287.7583333333</v>
      </c>
      <c r="I232" s="17"/>
      <c r="J232" s="18"/>
      <c r="K232" s="16" t="n">
        <v>24</v>
      </c>
      <c r="L232" s="16" t="s">
        <v>64</v>
      </c>
    </row>
    <row r="233" customFormat="false" ht="15" hidden="false" customHeight="false" outlineLevel="0" collapsed="false">
      <c r="A233" s="16" t="n">
        <v>232</v>
      </c>
      <c r="B233" s="16" t="s">
        <v>41</v>
      </c>
      <c r="C233" s="16" t="s">
        <v>61</v>
      </c>
      <c r="D233" s="16" t="s">
        <v>18</v>
      </c>
      <c r="E233" s="16" t="s">
        <v>26</v>
      </c>
      <c r="F233" s="16" t="s">
        <v>19</v>
      </c>
      <c r="G233" s="16" t="n">
        <v>1</v>
      </c>
      <c r="H233" s="17" t="n">
        <v>46210.24375</v>
      </c>
      <c r="I233" s="17" t="n">
        <v>46210.3486111111</v>
      </c>
      <c r="J233" s="18" t="n">
        <v>2.5</v>
      </c>
      <c r="K233" s="16" t="n">
        <v>4</v>
      </c>
      <c r="L233" s="16" t="s">
        <v>62</v>
      </c>
    </row>
    <row r="234" customFormat="false" ht="15" hidden="false" customHeight="false" outlineLevel="0" collapsed="false">
      <c r="A234" s="16" t="n">
        <v>233</v>
      </c>
      <c r="B234" s="16" t="s">
        <v>43</v>
      </c>
      <c r="C234" s="16" t="s">
        <v>61</v>
      </c>
      <c r="D234" s="16" t="s">
        <v>20</v>
      </c>
      <c r="E234" s="16" t="s">
        <v>27</v>
      </c>
      <c r="F234" s="16" t="s">
        <v>19</v>
      </c>
      <c r="G234" s="16" t="n">
        <v>1</v>
      </c>
      <c r="H234" s="17" t="n">
        <v>46256.8173611111</v>
      </c>
      <c r="I234" s="17" t="n">
        <v>46257.7104166667</v>
      </c>
      <c r="J234" s="18" t="n">
        <v>21.4</v>
      </c>
      <c r="K234" s="16" t="n">
        <v>24</v>
      </c>
      <c r="L234" s="16" t="s">
        <v>62</v>
      </c>
    </row>
    <row r="235" customFormat="false" ht="15" hidden="false" customHeight="false" outlineLevel="0" collapsed="false">
      <c r="A235" s="16" t="n">
        <v>234</v>
      </c>
      <c r="B235" s="16" t="s">
        <v>37</v>
      </c>
      <c r="C235" s="16" t="s">
        <v>61</v>
      </c>
      <c r="D235" s="16" t="s">
        <v>16</v>
      </c>
      <c r="E235" s="16" t="s">
        <v>27</v>
      </c>
      <c r="F235" s="16" t="s">
        <v>19</v>
      </c>
      <c r="G235" s="16" t="n">
        <v>2</v>
      </c>
      <c r="H235" s="17" t="n">
        <v>46281.4979166667</v>
      </c>
      <c r="I235" s="17" t="n">
        <v>46283.1472222222</v>
      </c>
      <c r="J235" s="18" t="n">
        <v>39.6</v>
      </c>
      <c r="K235" s="16" t="n">
        <v>24</v>
      </c>
      <c r="L235" s="16" t="s">
        <v>64</v>
      </c>
    </row>
    <row r="236" customFormat="false" ht="15" hidden="false" customHeight="false" outlineLevel="0" collapsed="false">
      <c r="A236" s="16" t="n">
        <v>235</v>
      </c>
      <c r="B236" s="16" t="s">
        <v>46</v>
      </c>
      <c r="C236" s="16" t="s">
        <v>63</v>
      </c>
      <c r="D236" s="16" t="s">
        <v>21</v>
      </c>
      <c r="E236" s="16" t="s">
        <v>28</v>
      </c>
      <c r="F236" s="16" t="s">
        <v>19</v>
      </c>
      <c r="G236" s="16" t="n">
        <v>1</v>
      </c>
      <c r="H236" s="17" t="n">
        <v>46269.4847222222</v>
      </c>
      <c r="I236" s="17" t="n">
        <v>46269.7819444445</v>
      </c>
      <c r="J236" s="18" t="n">
        <v>7.1</v>
      </c>
      <c r="K236" s="16" t="n">
        <v>72</v>
      </c>
      <c r="L236" s="16" t="s">
        <v>62</v>
      </c>
    </row>
    <row r="237" customFormat="false" ht="15" hidden="false" customHeight="false" outlineLevel="0" collapsed="false">
      <c r="A237" s="16" t="n">
        <v>236</v>
      </c>
      <c r="B237" s="16" t="s">
        <v>46</v>
      </c>
      <c r="C237" s="16" t="s">
        <v>63</v>
      </c>
      <c r="D237" s="16" t="s">
        <v>21</v>
      </c>
      <c r="E237" s="16" t="s">
        <v>27</v>
      </c>
      <c r="F237" s="16" t="s">
        <v>19</v>
      </c>
      <c r="G237" s="16" t="n">
        <v>1</v>
      </c>
      <c r="H237" s="17" t="n">
        <v>46255.4597222222</v>
      </c>
      <c r="I237" s="17" t="n">
        <v>46256.3986111111</v>
      </c>
      <c r="J237" s="18" t="n">
        <v>22.5</v>
      </c>
      <c r="K237" s="16" t="n">
        <v>24</v>
      </c>
      <c r="L237" s="16" t="s">
        <v>62</v>
      </c>
    </row>
    <row r="238" customFormat="false" ht="15" hidden="false" customHeight="false" outlineLevel="0" collapsed="false">
      <c r="A238" s="16" t="n">
        <v>237</v>
      </c>
      <c r="B238" s="16" t="s">
        <v>44</v>
      </c>
      <c r="C238" s="16" t="s">
        <v>61</v>
      </c>
      <c r="D238" s="16" t="s">
        <v>20</v>
      </c>
      <c r="E238" s="16" t="s">
        <v>28</v>
      </c>
      <c r="F238" s="16" t="s">
        <v>19</v>
      </c>
      <c r="G238" s="16" t="n">
        <v>1</v>
      </c>
      <c r="H238" s="17" t="n">
        <v>46256.53125</v>
      </c>
      <c r="I238" s="17" t="n">
        <v>46259.3305555556</v>
      </c>
      <c r="J238" s="18" t="n">
        <v>67.2</v>
      </c>
      <c r="K238" s="16" t="n">
        <v>72</v>
      </c>
      <c r="L238" s="16" t="s">
        <v>62</v>
      </c>
    </row>
    <row r="239" customFormat="false" ht="15" hidden="false" customHeight="false" outlineLevel="0" collapsed="false">
      <c r="A239" s="16" t="n">
        <v>238</v>
      </c>
      <c r="B239" s="16" t="s">
        <v>47</v>
      </c>
      <c r="C239" s="16" t="s">
        <v>63</v>
      </c>
      <c r="D239" s="16" t="s">
        <v>21</v>
      </c>
      <c r="E239" s="16" t="s">
        <v>28</v>
      </c>
      <c r="F239" s="16" t="s">
        <v>19</v>
      </c>
      <c r="G239" s="16" t="n">
        <v>1</v>
      </c>
      <c r="H239" s="17" t="n">
        <v>46229.35</v>
      </c>
      <c r="I239" s="17" t="n">
        <v>46233.1340277778</v>
      </c>
      <c r="J239" s="18" t="n">
        <v>90.8</v>
      </c>
      <c r="K239" s="16" t="n">
        <v>72</v>
      </c>
      <c r="L239" s="16" t="s">
        <v>64</v>
      </c>
    </row>
    <row r="240" customFormat="false" ht="15" hidden="false" customHeight="false" outlineLevel="0" collapsed="false">
      <c r="A240" s="16" t="n">
        <v>239</v>
      </c>
      <c r="B240" s="16" t="s">
        <v>33</v>
      </c>
      <c r="C240" s="16" t="s">
        <v>61</v>
      </c>
      <c r="D240" s="16" t="s">
        <v>14</v>
      </c>
      <c r="E240" s="16" t="s">
        <v>27</v>
      </c>
      <c r="F240" s="16" t="s">
        <v>19</v>
      </c>
      <c r="G240" s="16" t="n">
        <v>1</v>
      </c>
      <c r="H240" s="17" t="n">
        <v>46268.63125</v>
      </c>
      <c r="I240" s="17" t="n">
        <v>46269.9222222222</v>
      </c>
      <c r="J240" s="18" t="n">
        <v>31</v>
      </c>
      <c r="K240" s="16" t="n">
        <v>24</v>
      </c>
      <c r="L240" s="16" t="s">
        <v>64</v>
      </c>
    </row>
    <row r="241" customFormat="false" ht="15" hidden="false" customHeight="false" outlineLevel="0" collapsed="false">
      <c r="A241" s="16" t="n">
        <v>240</v>
      </c>
      <c r="B241" s="16" t="s">
        <v>44</v>
      </c>
      <c r="C241" s="16" t="s">
        <v>61</v>
      </c>
      <c r="D241" s="16" t="s">
        <v>20</v>
      </c>
      <c r="E241" s="16" t="s">
        <v>26</v>
      </c>
      <c r="F241" s="16" t="s">
        <v>19</v>
      </c>
      <c r="G241" s="16" t="n">
        <v>1</v>
      </c>
      <c r="H241" s="17" t="n">
        <v>46288.3361111111</v>
      </c>
      <c r="I241" s="17" t="n">
        <v>46288.5006944445</v>
      </c>
      <c r="J241" s="18" t="n">
        <v>4</v>
      </c>
      <c r="K241" s="16" t="n">
        <v>4</v>
      </c>
      <c r="L241" s="16" t="s">
        <v>62</v>
      </c>
    </row>
    <row r="242" customFormat="false" ht="15" hidden="false" customHeight="false" outlineLevel="0" collapsed="false">
      <c r="A242" s="16" t="n">
        <v>241</v>
      </c>
      <c r="B242" s="16" t="s">
        <v>37</v>
      </c>
      <c r="C242" s="16" t="s">
        <v>61</v>
      </c>
      <c r="D242" s="16" t="s">
        <v>16</v>
      </c>
      <c r="E242" s="16" t="s">
        <v>27</v>
      </c>
      <c r="F242" s="16" t="s">
        <v>15</v>
      </c>
      <c r="G242" s="16" t="n">
        <v>1</v>
      </c>
      <c r="H242" s="17" t="n">
        <v>46260.46875</v>
      </c>
      <c r="I242" s="17"/>
      <c r="J242" s="18"/>
      <c r="K242" s="16" t="n">
        <v>24</v>
      </c>
      <c r="L242" s="16" t="s">
        <v>64</v>
      </c>
    </row>
    <row r="243" customFormat="false" ht="15" hidden="false" customHeight="false" outlineLevel="0" collapsed="false">
      <c r="A243" s="16" t="n">
        <v>242</v>
      </c>
      <c r="B243" s="16" t="s">
        <v>34</v>
      </c>
      <c r="C243" s="16" t="s">
        <v>61</v>
      </c>
      <c r="D243" s="16" t="s">
        <v>14</v>
      </c>
      <c r="E243" s="16" t="s">
        <v>28</v>
      </c>
      <c r="F243" s="16" t="s">
        <v>17</v>
      </c>
      <c r="G243" s="16" t="n">
        <v>2</v>
      </c>
      <c r="H243" s="17" t="n">
        <v>46294.0534722222</v>
      </c>
      <c r="I243" s="17"/>
      <c r="J243" s="18"/>
      <c r="K243" s="16" t="n">
        <v>72</v>
      </c>
      <c r="L243" s="16" t="s">
        <v>62</v>
      </c>
    </row>
    <row r="244" customFormat="false" ht="15" hidden="false" customHeight="false" outlineLevel="0" collapsed="false">
      <c r="A244" s="16" t="n">
        <v>243</v>
      </c>
      <c r="B244" s="16" t="s">
        <v>48</v>
      </c>
      <c r="C244" s="16" t="s">
        <v>63</v>
      </c>
      <c r="D244" s="16" t="s">
        <v>21</v>
      </c>
      <c r="E244" s="16" t="s">
        <v>26</v>
      </c>
      <c r="F244" s="16" t="s">
        <v>19</v>
      </c>
      <c r="G244" s="16" t="n">
        <v>1</v>
      </c>
      <c r="H244" s="17" t="n">
        <v>46289.1326388889</v>
      </c>
      <c r="I244" s="17" t="n">
        <v>46289.2097222222</v>
      </c>
      <c r="J244" s="18" t="n">
        <v>1.9</v>
      </c>
      <c r="K244" s="16" t="n">
        <v>4</v>
      </c>
      <c r="L244" s="16" t="s">
        <v>62</v>
      </c>
    </row>
    <row r="245" customFormat="false" ht="15" hidden="false" customHeight="false" outlineLevel="0" collapsed="false">
      <c r="A245" s="16" t="n">
        <v>244</v>
      </c>
      <c r="B245" s="16" t="s">
        <v>39</v>
      </c>
      <c r="C245" s="16" t="s">
        <v>61</v>
      </c>
      <c r="D245" s="16" t="s">
        <v>16</v>
      </c>
      <c r="E245" s="16" t="s">
        <v>26</v>
      </c>
      <c r="F245" s="16" t="s">
        <v>19</v>
      </c>
      <c r="G245" s="16" t="n">
        <v>2</v>
      </c>
      <c r="H245" s="17" t="n">
        <v>46225.4847222222</v>
      </c>
      <c r="I245" s="17" t="n">
        <v>46225.8055555556</v>
      </c>
      <c r="J245" s="18" t="n">
        <v>7.7</v>
      </c>
      <c r="K245" s="16" t="n">
        <v>4</v>
      </c>
      <c r="L245" s="16" t="s">
        <v>64</v>
      </c>
    </row>
    <row r="246" customFormat="false" ht="15" hidden="false" customHeight="false" outlineLevel="0" collapsed="false">
      <c r="A246" s="16" t="n">
        <v>245</v>
      </c>
      <c r="B246" s="16" t="s">
        <v>43</v>
      </c>
      <c r="C246" s="16" t="s">
        <v>61</v>
      </c>
      <c r="D246" s="16" t="s">
        <v>20</v>
      </c>
      <c r="E246" s="16" t="s">
        <v>28</v>
      </c>
      <c r="F246" s="16" t="s">
        <v>13</v>
      </c>
      <c r="G246" s="16" t="n">
        <v>1</v>
      </c>
      <c r="H246" s="17" t="n">
        <v>46255.6784722222</v>
      </c>
      <c r="I246" s="17"/>
      <c r="J246" s="18"/>
      <c r="K246" s="16" t="n">
        <v>72</v>
      </c>
      <c r="L246" s="16" t="s">
        <v>64</v>
      </c>
    </row>
    <row r="247" customFormat="false" ht="15" hidden="false" customHeight="false" outlineLevel="0" collapsed="false">
      <c r="A247" s="16" t="n">
        <v>246</v>
      </c>
      <c r="B247" s="16" t="s">
        <v>37</v>
      </c>
      <c r="C247" s="16" t="s">
        <v>61</v>
      </c>
      <c r="D247" s="16" t="s">
        <v>16</v>
      </c>
      <c r="E247" s="16" t="s">
        <v>27</v>
      </c>
      <c r="F247" s="16" t="s">
        <v>19</v>
      </c>
      <c r="G247" s="16" t="n">
        <v>1</v>
      </c>
      <c r="H247" s="17" t="n">
        <v>46241.6583333333</v>
      </c>
      <c r="I247" s="17" t="n">
        <v>46241.9986111111</v>
      </c>
      <c r="J247" s="18" t="n">
        <v>8.2</v>
      </c>
      <c r="K247" s="16" t="n">
        <v>24</v>
      </c>
      <c r="L247" s="16" t="s">
        <v>62</v>
      </c>
    </row>
    <row r="248" customFormat="false" ht="15" hidden="false" customHeight="false" outlineLevel="0" collapsed="false">
      <c r="A248" s="16" t="n">
        <v>247</v>
      </c>
      <c r="B248" s="16" t="s">
        <v>37</v>
      </c>
      <c r="C248" s="16" t="s">
        <v>61</v>
      </c>
      <c r="D248" s="16" t="s">
        <v>16</v>
      </c>
      <c r="E248" s="16" t="s">
        <v>28</v>
      </c>
      <c r="F248" s="16" t="s">
        <v>19</v>
      </c>
      <c r="G248" s="16" t="n">
        <v>1</v>
      </c>
      <c r="H248" s="17" t="n">
        <v>46265.8958333333</v>
      </c>
      <c r="I248" s="17" t="n">
        <v>46267.9326388889</v>
      </c>
      <c r="J248" s="18" t="n">
        <v>48.9</v>
      </c>
      <c r="K248" s="16" t="n">
        <v>72</v>
      </c>
      <c r="L248" s="16" t="s">
        <v>62</v>
      </c>
    </row>
    <row r="249" customFormat="false" ht="15" hidden="false" customHeight="false" outlineLevel="0" collapsed="false">
      <c r="A249" s="16" t="n">
        <v>248</v>
      </c>
      <c r="B249" s="16" t="s">
        <v>42</v>
      </c>
      <c r="C249" s="16" t="s">
        <v>61</v>
      </c>
      <c r="D249" s="16" t="s">
        <v>18</v>
      </c>
      <c r="E249" s="16" t="s">
        <v>27</v>
      </c>
      <c r="F249" s="16" t="s">
        <v>19</v>
      </c>
      <c r="G249" s="16" t="n">
        <v>1</v>
      </c>
      <c r="H249" s="17" t="n">
        <v>46267.9486111111</v>
      </c>
      <c r="I249" s="17" t="n">
        <v>46269.30625</v>
      </c>
      <c r="J249" s="18" t="n">
        <v>32.6</v>
      </c>
      <c r="K249" s="16" t="n">
        <v>24</v>
      </c>
      <c r="L249" s="16" t="s">
        <v>64</v>
      </c>
    </row>
    <row r="250" customFormat="false" ht="15" hidden="false" customHeight="false" outlineLevel="0" collapsed="false">
      <c r="A250" s="16" t="n">
        <v>249</v>
      </c>
      <c r="B250" s="16" t="s">
        <v>40</v>
      </c>
      <c r="C250" s="16" t="s">
        <v>61</v>
      </c>
      <c r="D250" s="16" t="s">
        <v>18</v>
      </c>
      <c r="E250" s="16" t="s">
        <v>27</v>
      </c>
      <c r="F250" s="16" t="s">
        <v>19</v>
      </c>
      <c r="G250" s="16" t="n">
        <v>1</v>
      </c>
      <c r="H250" s="17" t="n">
        <v>46206.5534722222</v>
      </c>
      <c r="I250" s="17" t="n">
        <v>46207.5256944444</v>
      </c>
      <c r="J250" s="18" t="n">
        <v>23.3</v>
      </c>
      <c r="K250" s="16" t="n">
        <v>24</v>
      </c>
      <c r="L250" s="16" t="s">
        <v>62</v>
      </c>
    </row>
    <row r="251" customFormat="false" ht="15" hidden="false" customHeight="false" outlineLevel="0" collapsed="false">
      <c r="A251" s="16" t="n">
        <v>250</v>
      </c>
      <c r="B251" s="16" t="s">
        <v>46</v>
      </c>
      <c r="C251" s="16" t="s">
        <v>63</v>
      </c>
      <c r="D251" s="16" t="s">
        <v>21</v>
      </c>
      <c r="E251" s="16" t="s">
        <v>27</v>
      </c>
      <c r="F251" s="16" t="s">
        <v>19</v>
      </c>
      <c r="G251" s="16" t="n">
        <v>1</v>
      </c>
      <c r="H251" s="17" t="n">
        <v>46291.3006944444</v>
      </c>
      <c r="I251" s="17" t="n">
        <v>46292.5493055556</v>
      </c>
      <c r="J251" s="18" t="n">
        <v>30</v>
      </c>
      <c r="K251" s="16" t="n">
        <v>24</v>
      </c>
      <c r="L251" s="16" t="s">
        <v>64</v>
      </c>
    </row>
    <row r="252" customFormat="false" ht="15" hidden="false" customHeight="false" outlineLevel="0" collapsed="false">
      <c r="A252" s="16" t="n">
        <v>251</v>
      </c>
      <c r="B252" s="16" t="s">
        <v>46</v>
      </c>
      <c r="C252" s="16" t="s">
        <v>63</v>
      </c>
      <c r="D252" s="16" t="s">
        <v>21</v>
      </c>
      <c r="E252" s="16" t="s">
        <v>27</v>
      </c>
      <c r="F252" s="16" t="s">
        <v>19</v>
      </c>
      <c r="G252" s="16" t="n">
        <v>2</v>
      </c>
      <c r="H252" s="17" t="n">
        <v>46271.0888888889</v>
      </c>
      <c r="I252" s="17" t="n">
        <v>46272.2805555556</v>
      </c>
      <c r="J252" s="18" t="n">
        <v>28.6</v>
      </c>
      <c r="K252" s="16" t="n">
        <v>24</v>
      </c>
      <c r="L252" s="16" t="s">
        <v>64</v>
      </c>
    </row>
    <row r="253" customFormat="false" ht="15" hidden="false" customHeight="false" outlineLevel="0" collapsed="false">
      <c r="A253" s="16" t="n">
        <v>252</v>
      </c>
      <c r="B253" s="16" t="s">
        <v>42</v>
      </c>
      <c r="C253" s="16" t="s">
        <v>61</v>
      </c>
      <c r="D253" s="16" t="s">
        <v>18</v>
      </c>
      <c r="E253" s="16" t="s">
        <v>26</v>
      </c>
      <c r="F253" s="16" t="s">
        <v>19</v>
      </c>
      <c r="G253" s="16" t="n">
        <v>1</v>
      </c>
      <c r="H253" s="17" t="n">
        <v>46208.4118055556</v>
      </c>
      <c r="I253" s="17" t="n">
        <v>46208.5909722222</v>
      </c>
      <c r="J253" s="18" t="n">
        <v>4.3</v>
      </c>
      <c r="K253" s="16" t="n">
        <v>4</v>
      </c>
      <c r="L253" s="16" t="s">
        <v>64</v>
      </c>
    </row>
    <row r="254" customFormat="false" ht="15" hidden="false" customHeight="false" outlineLevel="0" collapsed="false">
      <c r="A254" s="16" t="n">
        <v>253</v>
      </c>
      <c r="B254" s="16" t="s">
        <v>48</v>
      </c>
      <c r="C254" s="16" t="s">
        <v>63</v>
      </c>
      <c r="D254" s="16" t="s">
        <v>21</v>
      </c>
      <c r="E254" s="16" t="s">
        <v>27</v>
      </c>
      <c r="F254" s="16" t="s">
        <v>19</v>
      </c>
      <c r="G254" s="16" t="n">
        <v>1</v>
      </c>
      <c r="H254" s="17" t="n">
        <v>46272.2020833333</v>
      </c>
      <c r="I254" s="17" t="n">
        <v>46272.3395833333</v>
      </c>
      <c r="J254" s="18" t="n">
        <v>3.3</v>
      </c>
      <c r="K254" s="16" t="n">
        <v>24</v>
      </c>
      <c r="L254" s="16" t="s">
        <v>62</v>
      </c>
    </row>
    <row r="255" customFormat="false" ht="15" hidden="false" customHeight="false" outlineLevel="0" collapsed="false">
      <c r="A255" s="16" t="n">
        <v>254</v>
      </c>
      <c r="B255" s="16" t="s">
        <v>48</v>
      </c>
      <c r="C255" s="16" t="s">
        <v>63</v>
      </c>
      <c r="D255" s="16" t="s">
        <v>21</v>
      </c>
      <c r="E255" s="16" t="s">
        <v>27</v>
      </c>
      <c r="F255" s="16" t="s">
        <v>19</v>
      </c>
      <c r="G255" s="16" t="n">
        <v>2</v>
      </c>
      <c r="H255" s="17" t="n">
        <v>46275.8041666667</v>
      </c>
      <c r="I255" s="17" t="n">
        <v>46277.6118055556</v>
      </c>
      <c r="J255" s="18" t="n">
        <v>43.4</v>
      </c>
      <c r="K255" s="16" t="n">
        <v>24</v>
      </c>
      <c r="L255" s="16" t="s">
        <v>64</v>
      </c>
    </row>
    <row r="256" customFormat="false" ht="15" hidden="false" customHeight="false" outlineLevel="0" collapsed="false">
      <c r="A256" s="16" t="n">
        <v>255</v>
      </c>
      <c r="B256" s="16" t="s">
        <v>43</v>
      </c>
      <c r="C256" s="16" t="s">
        <v>61</v>
      </c>
      <c r="D256" s="16" t="s">
        <v>20</v>
      </c>
      <c r="E256" s="16" t="s">
        <v>27</v>
      </c>
      <c r="F256" s="16" t="s">
        <v>19</v>
      </c>
      <c r="G256" s="16" t="n">
        <v>1</v>
      </c>
      <c r="H256" s="17" t="n">
        <v>46245.4479166667</v>
      </c>
      <c r="I256" s="17" t="n">
        <v>46246.0659722222</v>
      </c>
      <c r="J256" s="18" t="n">
        <v>14.8</v>
      </c>
      <c r="K256" s="16" t="n">
        <v>24</v>
      </c>
      <c r="L256" s="16" t="s">
        <v>62</v>
      </c>
    </row>
    <row r="257" customFormat="false" ht="15" hidden="false" customHeight="false" outlineLevel="0" collapsed="false">
      <c r="A257" s="16" t="n">
        <v>256</v>
      </c>
      <c r="B257" s="16" t="s">
        <v>45</v>
      </c>
      <c r="C257" s="16" t="s">
        <v>61</v>
      </c>
      <c r="D257" s="16" t="s">
        <v>20</v>
      </c>
      <c r="E257" s="16" t="s">
        <v>26</v>
      </c>
      <c r="F257" s="16" t="s">
        <v>19</v>
      </c>
      <c r="G257" s="16" t="n">
        <v>1</v>
      </c>
      <c r="H257" s="17" t="n">
        <v>46279.2069444444</v>
      </c>
      <c r="I257" s="17" t="n">
        <v>46279.4118055556</v>
      </c>
      <c r="J257" s="18" t="n">
        <v>4.9</v>
      </c>
      <c r="K257" s="16" t="n">
        <v>4</v>
      </c>
      <c r="L257" s="16" t="s">
        <v>64</v>
      </c>
    </row>
    <row r="258" customFormat="false" ht="15" hidden="false" customHeight="false" outlineLevel="0" collapsed="false">
      <c r="A258" s="16" t="n">
        <v>257</v>
      </c>
      <c r="B258" s="16" t="s">
        <v>47</v>
      </c>
      <c r="C258" s="16" t="s">
        <v>63</v>
      </c>
      <c r="D258" s="16" t="s">
        <v>21</v>
      </c>
      <c r="E258" s="16" t="s">
        <v>28</v>
      </c>
      <c r="F258" s="16" t="s">
        <v>19</v>
      </c>
      <c r="G258" s="16" t="n">
        <v>1</v>
      </c>
      <c r="H258" s="17" t="n">
        <v>46261.2833333333</v>
      </c>
      <c r="I258" s="17" t="n">
        <v>46264.5319444445</v>
      </c>
      <c r="J258" s="18" t="n">
        <v>78</v>
      </c>
      <c r="K258" s="16" t="n">
        <v>72</v>
      </c>
      <c r="L258" s="16" t="s">
        <v>64</v>
      </c>
    </row>
    <row r="259" customFormat="false" ht="15" hidden="false" customHeight="false" outlineLevel="0" collapsed="false">
      <c r="A259" s="16" t="n">
        <v>258</v>
      </c>
      <c r="B259" s="16" t="s">
        <v>42</v>
      </c>
      <c r="C259" s="16" t="s">
        <v>61</v>
      </c>
      <c r="D259" s="16" t="s">
        <v>18</v>
      </c>
      <c r="E259" s="16" t="s">
        <v>27</v>
      </c>
      <c r="F259" s="16" t="s">
        <v>19</v>
      </c>
      <c r="G259" s="16" t="n">
        <v>1</v>
      </c>
      <c r="H259" s="17" t="n">
        <v>46290.8840277778</v>
      </c>
      <c r="I259" s="17" t="n">
        <v>46291.7395833333</v>
      </c>
      <c r="J259" s="18" t="n">
        <v>20.5</v>
      </c>
      <c r="K259" s="16" t="n">
        <v>24</v>
      </c>
      <c r="L259" s="16" t="s">
        <v>62</v>
      </c>
    </row>
    <row r="260" customFormat="false" ht="15" hidden="false" customHeight="false" outlineLevel="0" collapsed="false">
      <c r="A260" s="16" t="n">
        <v>259</v>
      </c>
      <c r="B260" s="16" t="s">
        <v>47</v>
      </c>
      <c r="C260" s="16" t="s">
        <v>63</v>
      </c>
      <c r="D260" s="16" t="s">
        <v>21</v>
      </c>
      <c r="E260" s="16" t="s">
        <v>27</v>
      </c>
      <c r="F260" s="16" t="s">
        <v>19</v>
      </c>
      <c r="G260" s="16" t="n">
        <v>1</v>
      </c>
      <c r="H260" s="17" t="n">
        <v>46208.9729166667</v>
      </c>
      <c r="I260" s="17" t="n">
        <v>46209.6034722222</v>
      </c>
      <c r="J260" s="18" t="n">
        <v>15.1</v>
      </c>
      <c r="K260" s="16" t="n">
        <v>24</v>
      </c>
      <c r="L260" s="16" t="s">
        <v>62</v>
      </c>
    </row>
    <row r="261" customFormat="false" ht="15" hidden="false" customHeight="false" outlineLevel="0" collapsed="false">
      <c r="A261" s="16" t="n">
        <v>260</v>
      </c>
      <c r="B261" s="16" t="s">
        <v>45</v>
      </c>
      <c r="C261" s="16" t="s">
        <v>61</v>
      </c>
      <c r="D261" s="16" t="s">
        <v>20</v>
      </c>
      <c r="E261" s="16" t="s">
        <v>28</v>
      </c>
      <c r="F261" s="16" t="s">
        <v>19</v>
      </c>
      <c r="G261" s="16" t="n">
        <v>1</v>
      </c>
      <c r="H261" s="17" t="n">
        <v>46284.0534722222</v>
      </c>
      <c r="I261" s="17" t="n">
        <v>46284.6979166667</v>
      </c>
      <c r="J261" s="18" t="n">
        <v>15.5</v>
      </c>
      <c r="K261" s="16" t="n">
        <v>72</v>
      </c>
      <c r="L261" s="16" t="s">
        <v>62</v>
      </c>
    </row>
    <row r="262" customFormat="false" ht="15" hidden="false" customHeight="false" outlineLevel="0" collapsed="false">
      <c r="A262" s="16" t="n">
        <v>261</v>
      </c>
      <c r="B262" s="16" t="s">
        <v>41</v>
      </c>
      <c r="C262" s="16" t="s">
        <v>61</v>
      </c>
      <c r="D262" s="16" t="s">
        <v>18</v>
      </c>
      <c r="E262" s="16" t="s">
        <v>27</v>
      </c>
      <c r="F262" s="16" t="s">
        <v>19</v>
      </c>
      <c r="G262" s="16" t="n">
        <v>1</v>
      </c>
      <c r="H262" s="17" t="n">
        <v>46274.6666666667</v>
      </c>
      <c r="I262" s="17" t="n">
        <v>46275.3284722222</v>
      </c>
      <c r="J262" s="18" t="n">
        <v>15.9</v>
      </c>
      <c r="K262" s="16" t="n">
        <v>24</v>
      </c>
      <c r="L262" s="16" t="s">
        <v>62</v>
      </c>
    </row>
    <row r="263" customFormat="false" ht="15" hidden="false" customHeight="false" outlineLevel="0" collapsed="false">
      <c r="A263" s="16" t="n">
        <v>262</v>
      </c>
      <c r="B263" s="16" t="s">
        <v>34</v>
      </c>
      <c r="C263" s="16" t="s">
        <v>61</v>
      </c>
      <c r="D263" s="16" t="s">
        <v>14</v>
      </c>
      <c r="E263" s="16" t="s">
        <v>27</v>
      </c>
      <c r="F263" s="16" t="s">
        <v>19</v>
      </c>
      <c r="G263" s="16" t="n">
        <v>1</v>
      </c>
      <c r="H263" s="17" t="n">
        <v>46224.3979166667</v>
      </c>
      <c r="I263" s="17" t="n">
        <v>46224.44375</v>
      </c>
      <c r="J263" s="18" t="n">
        <v>1.1</v>
      </c>
      <c r="K263" s="16" t="n">
        <v>24</v>
      </c>
      <c r="L263" s="16" t="s">
        <v>62</v>
      </c>
    </row>
    <row r="264" customFormat="false" ht="15" hidden="false" customHeight="false" outlineLevel="0" collapsed="false">
      <c r="A264" s="16" t="n">
        <v>263</v>
      </c>
      <c r="B264" s="16" t="s">
        <v>47</v>
      </c>
      <c r="C264" s="16" t="s">
        <v>63</v>
      </c>
      <c r="D264" s="16" t="s">
        <v>21</v>
      </c>
      <c r="E264" s="16" t="s">
        <v>27</v>
      </c>
      <c r="F264" s="16" t="s">
        <v>19</v>
      </c>
      <c r="G264" s="16" t="n">
        <v>1</v>
      </c>
      <c r="H264" s="17" t="n">
        <v>46285.3756944445</v>
      </c>
      <c r="I264" s="17" t="n">
        <v>46285.8645833333</v>
      </c>
      <c r="J264" s="18" t="n">
        <v>11.7</v>
      </c>
      <c r="K264" s="16" t="n">
        <v>24</v>
      </c>
      <c r="L264" s="16" t="s">
        <v>62</v>
      </c>
    </row>
    <row r="265" customFormat="false" ht="15" hidden="false" customHeight="false" outlineLevel="0" collapsed="false">
      <c r="A265" s="16" t="n">
        <v>264</v>
      </c>
      <c r="B265" s="16" t="s">
        <v>48</v>
      </c>
      <c r="C265" s="16" t="s">
        <v>63</v>
      </c>
      <c r="D265" s="16" t="s">
        <v>21</v>
      </c>
      <c r="E265" s="16" t="s">
        <v>26</v>
      </c>
      <c r="F265" s="16" t="s">
        <v>19</v>
      </c>
      <c r="G265" s="16" t="n">
        <v>1</v>
      </c>
      <c r="H265" s="17" t="n">
        <v>46280.0708333333</v>
      </c>
      <c r="I265" s="17" t="n">
        <v>46280.1097222222</v>
      </c>
      <c r="J265" s="18" t="n">
        <v>0.9</v>
      </c>
      <c r="K265" s="16" t="n">
        <v>4</v>
      </c>
      <c r="L265" s="16" t="s">
        <v>62</v>
      </c>
    </row>
    <row r="266" customFormat="false" ht="15" hidden="false" customHeight="false" outlineLevel="0" collapsed="false">
      <c r="A266" s="16" t="n">
        <v>265</v>
      </c>
      <c r="B266" s="16" t="s">
        <v>42</v>
      </c>
      <c r="C266" s="16" t="s">
        <v>61</v>
      </c>
      <c r="D266" s="16" t="s">
        <v>18</v>
      </c>
      <c r="E266" s="16" t="s">
        <v>27</v>
      </c>
      <c r="F266" s="16" t="s">
        <v>13</v>
      </c>
      <c r="G266" s="16" t="n">
        <v>1</v>
      </c>
      <c r="H266" s="17" t="n">
        <v>46291.3944444444</v>
      </c>
      <c r="I266" s="17"/>
      <c r="J266" s="18"/>
      <c r="K266" s="16" t="n">
        <v>24</v>
      </c>
      <c r="L266" s="16" t="s">
        <v>64</v>
      </c>
    </row>
    <row r="267" customFormat="false" ht="15" hidden="false" customHeight="false" outlineLevel="0" collapsed="false">
      <c r="A267" s="16" t="n">
        <v>266</v>
      </c>
      <c r="B267" s="16" t="s">
        <v>47</v>
      </c>
      <c r="C267" s="16" t="s">
        <v>63</v>
      </c>
      <c r="D267" s="16" t="s">
        <v>21</v>
      </c>
      <c r="E267" s="16" t="s">
        <v>27</v>
      </c>
      <c r="F267" s="16" t="s">
        <v>19</v>
      </c>
      <c r="G267" s="16" t="n">
        <v>1</v>
      </c>
      <c r="H267" s="17" t="n">
        <v>46281.1798611111</v>
      </c>
      <c r="I267" s="17" t="n">
        <v>46281.3402777778</v>
      </c>
      <c r="J267" s="18" t="n">
        <v>3.9</v>
      </c>
      <c r="K267" s="16" t="n">
        <v>24</v>
      </c>
      <c r="L267" s="16" t="s">
        <v>62</v>
      </c>
    </row>
    <row r="268" customFormat="false" ht="15" hidden="false" customHeight="false" outlineLevel="0" collapsed="false">
      <c r="A268" s="16" t="n">
        <v>267</v>
      </c>
      <c r="B268" s="16" t="s">
        <v>34</v>
      </c>
      <c r="C268" s="16" t="s">
        <v>61</v>
      </c>
      <c r="D268" s="16" t="s">
        <v>14</v>
      </c>
      <c r="E268" s="16" t="s">
        <v>26</v>
      </c>
      <c r="F268" s="16" t="s">
        <v>19</v>
      </c>
      <c r="G268" s="16" t="n">
        <v>1</v>
      </c>
      <c r="H268" s="17" t="n">
        <v>46248.0319444445</v>
      </c>
      <c r="I268" s="17" t="n">
        <v>46248.1486111111</v>
      </c>
      <c r="J268" s="18" t="n">
        <v>2.8</v>
      </c>
      <c r="K268" s="16" t="n">
        <v>4</v>
      </c>
      <c r="L268" s="16" t="s">
        <v>62</v>
      </c>
    </row>
    <row r="269" customFormat="false" ht="15" hidden="false" customHeight="false" outlineLevel="0" collapsed="false">
      <c r="A269" s="16" t="n">
        <v>268</v>
      </c>
      <c r="B269" s="16" t="s">
        <v>35</v>
      </c>
      <c r="C269" s="16" t="s">
        <v>61</v>
      </c>
      <c r="D269" s="16" t="s">
        <v>14</v>
      </c>
      <c r="E269" s="16" t="s">
        <v>28</v>
      </c>
      <c r="F269" s="16" t="s">
        <v>19</v>
      </c>
      <c r="G269" s="16" t="n">
        <v>2</v>
      </c>
      <c r="H269" s="17" t="n">
        <v>46245.5708333333</v>
      </c>
      <c r="I269" s="17" t="n">
        <v>46248.8652777778</v>
      </c>
      <c r="J269" s="18" t="n">
        <v>79.1</v>
      </c>
      <c r="K269" s="16" t="n">
        <v>72</v>
      </c>
      <c r="L269" s="16" t="s">
        <v>64</v>
      </c>
    </row>
    <row r="270" customFormat="false" ht="15" hidden="false" customHeight="false" outlineLevel="0" collapsed="false">
      <c r="A270" s="16" t="n">
        <v>269</v>
      </c>
      <c r="B270" s="16" t="s">
        <v>33</v>
      </c>
      <c r="C270" s="16" t="s">
        <v>61</v>
      </c>
      <c r="D270" s="16" t="s">
        <v>14</v>
      </c>
      <c r="E270" s="16" t="s">
        <v>28</v>
      </c>
      <c r="F270" s="16" t="s">
        <v>19</v>
      </c>
      <c r="G270" s="16" t="n">
        <v>1</v>
      </c>
      <c r="H270" s="17" t="n">
        <v>46243.975</v>
      </c>
      <c r="I270" s="17" t="n">
        <v>46244.2708333333</v>
      </c>
      <c r="J270" s="18" t="n">
        <v>7.1</v>
      </c>
      <c r="K270" s="16" t="n">
        <v>72</v>
      </c>
      <c r="L270" s="16" t="s">
        <v>62</v>
      </c>
    </row>
    <row r="271" customFormat="false" ht="15" hidden="false" customHeight="false" outlineLevel="0" collapsed="false">
      <c r="A271" s="16" t="n">
        <v>270</v>
      </c>
      <c r="B271" s="16" t="s">
        <v>43</v>
      </c>
      <c r="C271" s="16" t="s">
        <v>61</v>
      </c>
      <c r="D271" s="16" t="s">
        <v>20</v>
      </c>
      <c r="E271" s="16" t="s">
        <v>27</v>
      </c>
      <c r="F271" s="16" t="s">
        <v>19</v>
      </c>
      <c r="G271" s="16" t="n">
        <v>1</v>
      </c>
      <c r="H271" s="17" t="n">
        <v>46268.41875</v>
      </c>
      <c r="I271" s="17" t="n">
        <v>46269.1590277778</v>
      </c>
      <c r="J271" s="18" t="n">
        <v>17.8</v>
      </c>
      <c r="K271" s="16" t="n">
        <v>24</v>
      </c>
      <c r="L271" s="16" t="s">
        <v>62</v>
      </c>
    </row>
    <row r="272" customFormat="false" ht="15" hidden="false" customHeight="false" outlineLevel="0" collapsed="false">
      <c r="A272" s="16" t="n">
        <v>271</v>
      </c>
      <c r="B272" s="16" t="s">
        <v>39</v>
      </c>
      <c r="C272" s="16" t="s">
        <v>61</v>
      </c>
      <c r="D272" s="16" t="s">
        <v>16</v>
      </c>
      <c r="E272" s="16" t="s">
        <v>27</v>
      </c>
      <c r="F272" s="16" t="s">
        <v>19</v>
      </c>
      <c r="G272" s="16" t="n">
        <v>1</v>
      </c>
      <c r="H272" s="17" t="n">
        <v>46228.4840277778</v>
      </c>
      <c r="I272" s="17" t="n">
        <v>46229.2423611111</v>
      </c>
      <c r="J272" s="18" t="n">
        <v>18.2</v>
      </c>
      <c r="K272" s="16" t="n">
        <v>24</v>
      </c>
      <c r="L272" s="16" t="s">
        <v>62</v>
      </c>
    </row>
    <row r="273" customFormat="false" ht="15" hidden="false" customHeight="false" outlineLevel="0" collapsed="false">
      <c r="A273" s="16" t="n">
        <v>272</v>
      </c>
      <c r="B273" s="16" t="s">
        <v>34</v>
      </c>
      <c r="C273" s="16" t="s">
        <v>61</v>
      </c>
      <c r="D273" s="16" t="s">
        <v>14</v>
      </c>
      <c r="E273" s="16" t="s">
        <v>27</v>
      </c>
      <c r="F273" s="16" t="s">
        <v>19</v>
      </c>
      <c r="G273" s="16" t="n">
        <v>1</v>
      </c>
      <c r="H273" s="17" t="n">
        <v>46218.2368055556</v>
      </c>
      <c r="I273" s="17" t="n">
        <v>46218.5993055556</v>
      </c>
      <c r="J273" s="18" t="n">
        <v>8.7</v>
      </c>
      <c r="K273" s="16" t="n">
        <v>24</v>
      </c>
      <c r="L273" s="16" t="s">
        <v>62</v>
      </c>
    </row>
    <row r="274" customFormat="false" ht="15" hidden="false" customHeight="false" outlineLevel="0" collapsed="false">
      <c r="A274" s="16" t="n">
        <v>273</v>
      </c>
      <c r="B274" s="16" t="s">
        <v>46</v>
      </c>
      <c r="C274" s="16" t="s">
        <v>63</v>
      </c>
      <c r="D274" s="16" t="s">
        <v>21</v>
      </c>
      <c r="E274" s="16" t="s">
        <v>26</v>
      </c>
      <c r="F274" s="16" t="s">
        <v>19</v>
      </c>
      <c r="G274" s="16" t="n">
        <v>1</v>
      </c>
      <c r="H274" s="17" t="n">
        <v>46280.8875</v>
      </c>
      <c r="I274" s="17" t="n">
        <v>46280.9791666667</v>
      </c>
      <c r="J274" s="18" t="n">
        <v>2.2</v>
      </c>
      <c r="K274" s="16" t="n">
        <v>4</v>
      </c>
      <c r="L274" s="16" t="s">
        <v>62</v>
      </c>
    </row>
    <row r="275" customFormat="false" ht="15" hidden="false" customHeight="false" outlineLevel="0" collapsed="false">
      <c r="A275" s="16" t="n">
        <v>274</v>
      </c>
      <c r="B275" s="16" t="s">
        <v>41</v>
      </c>
      <c r="C275" s="16" t="s">
        <v>61</v>
      </c>
      <c r="D275" s="16" t="s">
        <v>18</v>
      </c>
      <c r="E275" s="16" t="s">
        <v>28</v>
      </c>
      <c r="F275" s="16" t="s">
        <v>19</v>
      </c>
      <c r="G275" s="16" t="n">
        <v>1</v>
      </c>
      <c r="H275" s="17" t="n">
        <v>46256.0340277778</v>
      </c>
      <c r="I275" s="17" t="n">
        <v>46257.925</v>
      </c>
      <c r="J275" s="18" t="n">
        <v>45.4</v>
      </c>
      <c r="K275" s="16" t="n">
        <v>72</v>
      </c>
      <c r="L275" s="16" t="s">
        <v>62</v>
      </c>
    </row>
    <row r="276" customFormat="false" ht="15" hidden="false" customHeight="false" outlineLevel="0" collapsed="false">
      <c r="A276" s="16" t="n">
        <v>275</v>
      </c>
      <c r="B276" s="16" t="s">
        <v>46</v>
      </c>
      <c r="C276" s="16" t="s">
        <v>63</v>
      </c>
      <c r="D276" s="16" t="s">
        <v>21</v>
      </c>
      <c r="E276" s="16" t="s">
        <v>28</v>
      </c>
      <c r="F276" s="16" t="s">
        <v>19</v>
      </c>
      <c r="G276" s="16" t="n">
        <v>1</v>
      </c>
      <c r="H276" s="17" t="n">
        <v>46217.075</v>
      </c>
      <c r="I276" s="17" t="n">
        <v>46221.0291666667</v>
      </c>
      <c r="J276" s="18" t="n">
        <v>94.9</v>
      </c>
      <c r="K276" s="16" t="n">
        <v>72</v>
      </c>
      <c r="L276" s="16" t="s">
        <v>64</v>
      </c>
    </row>
    <row r="277" customFormat="false" ht="15" hidden="false" customHeight="false" outlineLevel="0" collapsed="false">
      <c r="A277" s="16" t="n">
        <v>276</v>
      </c>
      <c r="B277" s="16" t="s">
        <v>47</v>
      </c>
      <c r="C277" s="16" t="s">
        <v>63</v>
      </c>
      <c r="D277" s="16" t="s">
        <v>21</v>
      </c>
      <c r="E277" s="16" t="s">
        <v>27</v>
      </c>
      <c r="F277" s="16" t="s">
        <v>19</v>
      </c>
      <c r="G277" s="16" t="n">
        <v>1</v>
      </c>
      <c r="H277" s="17" t="n">
        <v>46210.3208333333</v>
      </c>
      <c r="I277" s="17" t="n">
        <v>46210.8090277778</v>
      </c>
      <c r="J277" s="18" t="n">
        <v>11.7</v>
      </c>
      <c r="K277" s="16" t="n">
        <v>24</v>
      </c>
      <c r="L277" s="16" t="s">
        <v>62</v>
      </c>
    </row>
    <row r="278" customFormat="false" ht="15" hidden="false" customHeight="false" outlineLevel="0" collapsed="false">
      <c r="A278" s="16" t="n">
        <v>277</v>
      </c>
      <c r="B278" s="16" t="s">
        <v>40</v>
      </c>
      <c r="C278" s="16" t="s">
        <v>61</v>
      </c>
      <c r="D278" s="16" t="s">
        <v>18</v>
      </c>
      <c r="E278" s="16" t="s">
        <v>26</v>
      </c>
      <c r="F278" s="16" t="s">
        <v>19</v>
      </c>
      <c r="G278" s="16" t="n">
        <v>1</v>
      </c>
      <c r="H278" s="17" t="n">
        <v>46213.1930555556</v>
      </c>
      <c r="I278" s="17" t="n">
        <v>46213.3791666667</v>
      </c>
      <c r="J278" s="18" t="n">
        <v>4.5</v>
      </c>
      <c r="K278" s="16" t="n">
        <v>4</v>
      </c>
      <c r="L278" s="16" t="s">
        <v>64</v>
      </c>
    </row>
    <row r="279" customFormat="false" ht="15" hidden="false" customHeight="false" outlineLevel="0" collapsed="false">
      <c r="A279" s="16" t="n">
        <v>278</v>
      </c>
      <c r="B279" s="16" t="s">
        <v>44</v>
      </c>
      <c r="C279" s="16" t="s">
        <v>61</v>
      </c>
      <c r="D279" s="16" t="s">
        <v>20</v>
      </c>
      <c r="E279" s="16" t="s">
        <v>26</v>
      </c>
      <c r="F279" s="16" t="s">
        <v>19</v>
      </c>
      <c r="G279" s="16" t="n">
        <v>2</v>
      </c>
      <c r="H279" s="17" t="n">
        <v>46252.2479166667</v>
      </c>
      <c r="I279" s="17" t="n">
        <v>46252.3833333333</v>
      </c>
      <c r="J279" s="18" t="n">
        <v>3.3</v>
      </c>
      <c r="K279" s="16" t="n">
        <v>4</v>
      </c>
      <c r="L279" s="16" t="s">
        <v>62</v>
      </c>
    </row>
    <row r="280" customFormat="false" ht="15" hidden="false" customHeight="false" outlineLevel="0" collapsed="false">
      <c r="A280" s="16" t="n">
        <v>279</v>
      </c>
      <c r="B280" s="16" t="s">
        <v>42</v>
      </c>
      <c r="C280" s="16" t="s">
        <v>61</v>
      </c>
      <c r="D280" s="16" t="s">
        <v>18</v>
      </c>
      <c r="E280" s="16" t="s">
        <v>26</v>
      </c>
      <c r="F280" s="16" t="s">
        <v>19</v>
      </c>
      <c r="G280" s="16" t="n">
        <v>1</v>
      </c>
      <c r="H280" s="17" t="n">
        <v>46290.8979166667</v>
      </c>
      <c r="I280" s="17" t="n">
        <v>46290.9805555556</v>
      </c>
      <c r="J280" s="18" t="n">
        <v>2</v>
      </c>
      <c r="K280" s="16" t="n">
        <v>4</v>
      </c>
      <c r="L280" s="16" t="s">
        <v>62</v>
      </c>
    </row>
    <row r="281" customFormat="false" ht="15" hidden="false" customHeight="false" outlineLevel="0" collapsed="false">
      <c r="A281" s="16" t="n">
        <v>280</v>
      </c>
      <c r="B281" s="16" t="s">
        <v>43</v>
      </c>
      <c r="C281" s="16" t="s">
        <v>61</v>
      </c>
      <c r="D281" s="16" t="s">
        <v>20</v>
      </c>
      <c r="E281" s="16" t="s">
        <v>26</v>
      </c>
      <c r="F281" s="16" t="s">
        <v>19</v>
      </c>
      <c r="G281" s="16" t="n">
        <v>1</v>
      </c>
      <c r="H281" s="17" t="n">
        <v>46239.35</v>
      </c>
      <c r="I281" s="17" t="n">
        <v>46239.4270833333</v>
      </c>
      <c r="J281" s="18" t="n">
        <v>1.9</v>
      </c>
      <c r="K281" s="16" t="n">
        <v>4</v>
      </c>
      <c r="L281" s="16" t="s">
        <v>62</v>
      </c>
    </row>
    <row r="282" customFormat="false" ht="15" hidden="false" customHeight="false" outlineLevel="0" collapsed="false">
      <c r="A282" s="16" t="n">
        <v>281</v>
      </c>
      <c r="B282" s="16" t="s">
        <v>48</v>
      </c>
      <c r="C282" s="16" t="s">
        <v>63</v>
      </c>
      <c r="D282" s="16" t="s">
        <v>21</v>
      </c>
      <c r="E282" s="16" t="s">
        <v>26</v>
      </c>
      <c r="F282" s="16" t="s">
        <v>19</v>
      </c>
      <c r="G282" s="16" t="n">
        <v>1</v>
      </c>
      <c r="H282" s="17" t="n">
        <v>46240.6194444444</v>
      </c>
      <c r="I282" s="17" t="n">
        <v>46240.7847222222</v>
      </c>
      <c r="J282" s="18" t="n">
        <v>4</v>
      </c>
      <c r="K282" s="16" t="n">
        <v>4</v>
      </c>
      <c r="L282" s="16" t="s">
        <v>62</v>
      </c>
    </row>
    <row r="283" customFormat="false" ht="15" hidden="false" customHeight="false" outlineLevel="0" collapsed="false">
      <c r="A283" s="16" t="n">
        <v>282</v>
      </c>
      <c r="B283" s="16" t="s">
        <v>45</v>
      </c>
      <c r="C283" s="16" t="s">
        <v>61</v>
      </c>
      <c r="D283" s="16" t="s">
        <v>20</v>
      </c>
      <c r="E283" s="16" t="s">
        <v>28</v>
      </c>
      <c r="F283" s="16" t="s">
        <v>19</v>
      </c>
      <c r="G283" s="16" t="n">
        <v>1</v>
      </c>
      <c r="H283" s="17" t="n">
        <v>46262.2222222222</v>
      </c>
      <c r="I283" s="17" t="n">
        <v>46265.2236111111</v>
      </c>
      <c r="J283" s="18" t="n">
        <v>72</v>
      </c>
      <c r="K283" s="16" t="n">
        <v>72</v>
      </c>
      <c r="L283" s="16" t="s">
        <v>64</v>
      </c>
    </row>
    <row r="284" customFormat="false" ht="15" hidden="false" customHeight="false" outlineLevel="0" collapsed="false">
      <c r="A284" s="16" t="n">
        <v>283</v>
      </c>
      <c r="B284" s="16" t="s">
        <v>44</v>
      </c>
      <c r="C284" s="16" t="s">
        <v>61</v>
      </c>
      <c r="D284" s="16" t="s">
        <v>20</v>
      </c>
      <c r="E284" s="16" t="s">
        <v>28</v>
      </c>
      <c r="F284" s="16" t="s">
        <v>19</v>
      </c>
      <c r="G284" s="16" t="n">
        <v>1</v>
      </c>
      <c r="H284" s="17" t="n">
        <v>46223.5041666667</v>
      </c>
      <c r="I284" s="17" t="n">
        <v>46225.0138888889</v>
      </c>
      <c r="J284" s="18" t="n">
        <v>36.2</v>
      </c>
      <c r="K284" s="16" t="n">
        <v>72</v>
      </c>
      <c r="L284" s="16" t="s">
        <v>62</v>
      </c>
    </row>
    <row r="285" customFormat="false" ht="15" hidden="false" customHeight="false" outlineLevel="0" collapsed="false">
      <c r="A285" s="16" t="n">
        <v>284</v>
      </c>
      <c r="B285" s="16" t="s">
        <v>39</v>
      </c>
      <c r="C285" s="16" t="s">
        <v>61</v>
      </c>
      <c r="D285" s="16" t="s">
        <v>16</v>
      </c>
      <c r="E285" s="16" t="s">
        <v>27</v>
      </c>
      <c r="F285" s="16" t="s">
        <v>19</v>
      </c>
      <c r="G285" s="16" t="n">
        <v>1</v>
      </c>
      <c r="H285" s="17" t="n">
        <v>46205.8083333333</v>
      </c>
      <c r="I285" s="17" t="n">
        <v>46206.3777777778</v>
      </c>
      <c r="J285" s="18" t="n">
        <v>13.7</v>
      </c>
      <c r="K285" s="16" t="n">
        <v>24</v>
      </c>
      <c r="L285" s="16" t="s">
        <v>62</v>
      </c>
    </row>
    <row r="286" customFormat="false" ht="15" hidden="false" customHeight="false" outlineLevel="0" collapsed="false">
      <c r="A286" s="16" t="n">
        <v>285</v>
      </c>
      <c r="B286" s="16" t="s">
        <v>44</v>
      </c>
      <c r="C286" s="16" t="s">
        <v>61</v>
      </c>
      <c r="D286" s="16" t="s">
        <v>20</v>
      </c>
      <c r="E286" s="16" t="s">
        <v>27</v>
      </c>
      <c r="F286" s="16" t="s">
        <v>19</v>
      </c>
      <c r="G286" s="16" t="n">
        <v>2</v>
      </c>
      <c r="H286" s="17" t="n">
        <v>46247.8152777778</v>
      </c>
      <c r="I286" s="17" t="n">
        <v>46248.4916666667</v>
      </c>
      <c r="J286" s="18" t="n">
        <v>16.2</v>
      </c>
      <c r="K286" s="16" t="n">
        <v>24</v>
      </c>
      <c r="L286" s="16" t="s">
        <v>62</v>
      </c>
    </row>
    <row r="287" customFormat="false" ht="15" hidden="false" customHeight="false" outlineLevel="0" collapsed="false">
      <c r="A287" s="16" t="n">
        <v>286</v>
      </c>
      <c r="B287" s="16" t="s">
        <v>48</v>
      </c>
      <c r="C287" s="16" t="s">
        <v>63</v>
      </c>
      <c r="D287" s="16" t="s">
        <v>21</v>
      </c>
      <c r="E287" s="16" t="s">
        <v>26</v>
      </c>
      <c r="F287" s="16" t="s">
        <v>19</v>
      </c>
      <c r="G287" s="16" t="n">
        <v>1</v>
      </c>
      <c r="H287" s="17" t="n">
        <v>46287.6527777778</v>
      </c>
      <c r="I287" s="17" t="n">
        <v>46287.80625</v>
      </c>
      <c r="J287" s="18" t="n">
        <v>3.7</v>
      </c>
      <c r="K287" s="16" t="n">
        <v>4</v>
      </c>
      <c r="L287" s="16" t="s">
        <v>62</v>
      </c>
    </row>
    <row r="288" customFormat="false" ht="15" hidden="false" customHeight="false" outlineLevel="0" collapsed="false">
      <c r="A288" s="16" t="n">
        <v>287</v>
      </c>
      <c r="B288" s="16" t="s">
        <v>40</v>
      </c>
      <c r="C288" s="16" t="s">
        <v>61</v>
      </c>
      <c r="D288" s="16" t="s">
        <v>18</v>
      </c>
      <c r="E288" s="16" t="s">
        <v>26</v>
      </c>
      <c r="F288" s="16" t="s">
        <v>19</v>
      </c>
      <c r="G288" s="16" t="n">
        <v>1</v>
      </c>
      <c r="H288" s="17" t="n">
        <v>46209.4631944444</v>
      </c>
      <c r="I288" s="17" t="n">
        <v>46209.6006944445</v>
      </c>
      <c r="J288" s="18" t="n">
        <v>3.3</v>
      </c>
      <c r="K288" s="16" t="n">
        <v>4</v>
      </c>
      <c r="L288" s="16" t="s">
        <v>62</v>
      </c>
    </row>
    <row r="289" customFormat="false" ht="15" hidden="false" customHeight="false" outlineLevel="0" collapsed="false">
      <c r="A289" s="16" t="n">
        <v>288</v>
      </c>
      <c r="B289" s="16" t="s">
        <v>39</v>
      </c>
      <c r="C289" s="16" t="s">
        <v>61</v>
      </c>
      <c r="D289" s="16" t="s">
        <v>16</v>
      </c>
      <c r="E289" s="16" t="s">
        <v>27</v>
      </c>
      <c r="F289" s="16" t="s">
        <v>19</v>
      </c>
      <c r="G289" s="16" t="n">
        <v>1</v>
      </c>
      <c r="H289" s="17" t="n">
        <v>46228.8229166667</v>
      </c>
      <c r="I289" s="17" t="n">
        <v>46229.48125</v>
      </c>
      <c r="J289" s="18" t="n">
        <v>15.8</v>
      </c>
      <c r="K289" s="16" t="n">
        <v>24</v>
      </c>
      <c r="L289" s="16" t="s">
        <v>62</v>
      </c>
    </row>
    <row r="290" customFormat="false" ht="15" hidden="false" customHeight="false" outlineLevel="0" collapsed="false">
      <c r="A290" s="16" t="n">
        <v>289</v>
      </c>
      <c r="B290" s="16" t="s">
        <v>33</v>
      </c>
      <c r="C290" s="16" t="s">
        <v>61</v>
      </c>
      <c r="D290" s="16" t="s">
        <v>14</v>
      </c>
      <c r="E290" s="16" t="s">
        <v>27</v>
      </c>
      <c r="F290" s="16" t="s">
        <v>15</v>
      </c>
      <c r="G290" s="16" t="n">
        <v>1</v>
      </c>
      <c r="H290" s="17" t="n">
        <v>46204.1541666667</v>
      </c>
      <c r="I290" s="17"/>
      <c r="J290" s="18"/>
      <c r="K290" s="16" t="n">
        <v>24</v>
      </c>
      <c r="L290" s="16" t="s">
        <v>64</v>
      </c>
    </row>
    <row r="291" customFormat="false" ht="15" hidden="false" customHeight="false" outlineLevel="0" collapsed="false">
      <c r="A291" s="16" t="n">
        <v>290</v>
      </c>
      <c r="B291" s="16" t="s">
        <v>37</v>
      </c>
      <c r="C291" s="16" t="s">
        <v>61</v>
      </c>
      <c r="D291" s="16" t="s">
        <v>16</v>
      </c>
      <c r="E291" s="16" t="s">
        <v>27</v>
      </c>
      <c r="F291" s="16" t="s">
        <v>19</v>
      </c>
      <c r="G291" s="16" t="n">
        <v>1</v>
      </c>
      <c r="H291" s="17" t="n">
        <v>46270.1777777778</v>
      </c>
      <c r="I291" s="17" t="n">
        <v>46270.9305555556</v>
      </c>
      <c r="J291" s="18" t="n">
        <v>18.1</v>
      </c>
      <c r="K291" s="16" t="n">
        <v>24</v>
      </c>
      <c r="L291" s="16" t="s">
        <v>62</v>
      </c>
    </row>
    <row r="292" customFormat="false" ht="15" hidden="false" customHeight="false" outlineLevel="0" collapsed="false">
      <c r="A292" s="16" t="n">
        <v>291</v>
      </c>
      <c r="B292" s="16" t="s">
        <v>43</v>
      </c>
      <c r="C292" s="16" t="s">
        <v>61</v>
      </c>
      <c r="D292" s="16" t="s">
        <v>20</v>
      </c>
      <c r="E292" s="16" t="s">
        <v>27</v>
      </c>
      <c r="F292" s="16" t="s">
        <v>19</v>
      </c>
      <c r="G292" s="16" t="n">
        <v>1</v>
      </c>
      <c r="H292" s="17" t="n">
        <v>46263.725</v>
      </c>
      <c r="I292" s="17" t="n">
        <v>46264.2569444445</v>
      </c>
      <c r="J292" s="18" t="n">
        <v>12.8</v>
      </c>
      <c r="K292" s="16" t="n">
        <v>24</v>
      </c>
      <c r="L292" s="16" t="s">
        <v>62</v>
      </c>
    </row>
    <row r="293" customFormat="false" ht="15" hidden="false" customHeight="false" outlineLevel="0" collapsed="false">
      <c r="A293" s="16" t="n">
        <v>292</v>
      </c>
      <c r="B293" s="16" t="s">
        <v>35</v>
      </c>
      <c r="C293" s="16" t="s">
        <v>61</v>
      </c>
      <c r="D293" s="16" t="s">
        <v>14</v>
      </c>
      <c r="E293" s="16" t="s">
        <v>27</v>
      </c>
      <c r="F293" s="16" t="s">
        <v>19</v>
      </c>
      <c r="G293" s="16" t="n">
        <v>1</v>
      </c>
      <c r="H293" s="17" t="n">
        <v>46222.1583333333</v>
      </c>
      <c r="I293" s="17" t="n">
        <v>46223.3138888889</v>
      </c>
      <c r="J293" s="18" t="n">
        <v>27.7</v>
      </c>
      <c r="K293" s="16" t="n">
        <v>24</v>
      </c>
      <c r="L293" s="16" t="s">
        <v>64</v>
      </c>
    </row>
    <row r="294" customFormat="false" ht="15" hidden="false" customHeight="false" outlineLevel="0" collapsed="false">
      <c r="A294" s="16" t="n">
        <v>293</v>
      </c>
      <c r="B294" s="16" t="s">
        <v>37</v>
      </c>
      <c r="C294" s="16" t="s">
        <v>61</v>
      </c>
      <c r="D294" s="16" t="s">
        <v>16</v>
      </c>
      <c r="E294" s="16" t="s">
        <v>26</v>
      </c>
      <c r="F294" s="16" t="s">
        <v>19</v>
      </c>
      <c r="G294" s="16" t="n">
        <v>1</v>
      </c>
      <c r="H294" s="17" t="n">
        <v>46218.8138888889</v>
      </c>
      <c r="I294" s="17" t="n">
        <v>46218.9201388889</v>
      </c>
      <c r="J294" s="18" t="n">
        <v>2.6</v>
      </c>
      <c r="K294" s="16" t="n">
        <v>4</v>
      </c>
      <c r="L294" s="16" t="s">
        <v>62</v>
      </c>
    </row>
    <row r="295" customFormat="false" ht="15" hidden="false" customHeight="false" outlineLevel="0" collapsed="false">
      <c r="A295" s="16" t="n">
        <v>294</v>
      </c>
      <c r="B295" s="16" t="s">
        <v>39</v>
      </c>
      <c r="C295" s="16" t="s">
        <v>61</v>
      </c>
      <c r="D295" s="16" t="s">
        <v>16</v>
      </c>
      <c r="E295" s="16" t="s">
        <v>27</v>
      </c>
      <c r="F295" s="16" t="s">
        <v>19</v>
      </c>
      <c r="G295" s="16" t="n">
        <v>2</v>
      </c>
      <c r="H295" s="17" t="n">
        <v>46278.3305555556</v>
      </c>
      <c r="I295" s="17" t="n">
        <v>46280.3444444445</v>
      </c>
      <c r="J295" s="18" t="n">
        <v>48.3</v>
      </c>
      <c r="K295" s="16" t="n">
        <v>24</v>
      </c>
      <c r="L295" s="16" t="s">
        <v>64</v>
      </c>
    </row>
    <row r="296" customFormat="false" ht="15" hidden="false" customHeight="false" outlineLevel="0" collapsed="false">
      <c r="A296" s="16" t="n">
        <v>295</v>
      </c>
      <c r="B296" s="16" t="s">
        <v>40</v>
      </c>
      <c r="C296" s="16" t="s">
        <v>61</v>
      </c>
      <c r="D296" s="16" t="s">
        <v>18</v>
      </c>
      <c r="E296" s="16" t="s">
        <v>28</v>
      </c>
      <c r="F296" s="16" t="s">
        <v>19</v>
      </c>
      <c r="G296" s="16" t="n">
        <v>1</v>
      </c>
      <c r="H296" s="17" t="n">
        <v>46251.5298611111</v>
      </c>
      <c r="I296" s="17" t="n">
        <v>46252.6097222222</v>
      </c>
      <c r="J296" s="18" t="n">
        <v>25.9</v>
      </c>
      <c r="K296" s="16" t="n">
        <v>72</v>
      </c>
      <c r="L296" s="16" t="s">
        <v>62</v>
      </c>
    </row>
    <row r="297" customFormat="false" ht="15" hidden="false" customHeight="false" outlineLevel="0" collapsed="false">
      <c r="A297" s="16" t="n">
        <v>296</v>
      </c>
      <c r="B297" s="16" t="s">
        <v>46</v>
      </c>
      <c r="C297" s="16" t="s">
        <v>63</v>
      </c>
      <c r="D297" s="16" t="s">
        <v>21</v>
      </c>
      <c r="E297" s="16" t="s">
        <v>27</v>
      </c>
      <c r="F297" s="16" t="s">
        <v>19</v>
      </c>
      <c r="G297" s="16" t="n">
        <v>1</v>
      </c>
      <c r="H297" s="17" t="n">
        <v>46262.7576388889</v>
      </c>
      <c r="I297" s="17" t="n">
        <v>46262.7972222222</v>
      </c>
      <c r="J297" s="18" t="n">
        <v>1</v>
      </c>
      <c r="K297" s="16" t="n">
        <v>24</v>
      </c>
      <c r="L297" s="16" t="s">
        <v>62</v>
      </c>
    </row>
    <row r="298" customFormat="false" ht="15" hidden="false" customHeight="false" outlineLevel="0" collapsed="false">
      <c r="A298" s="16" t="n">
        <v>297</v>
      </c>
      <c r="B298" s="16" t="s">
        <v>48</v>
      </c>
      <c r="C298" s="16" t="s">
        <v>63</v>
      </c>
      <c r="D298" s="16" t="s">
        <v>21</v>
      </c>
      <c r="E298" s="16" t="s">
        <v>27</v>
      </c>
      <c r="F298" s="16" t="s">
        <v>19</v>
      </c>
      <c r="G298" s="16" t="n">
        <v>1</v>
      </c>
      <c r="H298" s="17" t="n">
        <v>46213.5208333333</v>
      </c>
      <c r="I298" s="17" t="n">
        <v>46214.3486111111</v>
      </c>
      <c r="J298" s="18" t="n">
        <v>19.9</v>
      </c>
      <c r="K298" s="16" t="n">
        <v>24</v>
      </c>
      <c r="L298" s="16" t="s">
        <v>62</v>
      </c>
    </row>
    <row r="299" customFormat="false" ht="15" hidden="false" customHeight="false" outlineLevel="0" collapsed="false">
      <c r="A299" s="16" t="n">
        <v>298</v>
      </c>
      <c r="B299" s="16" t="s">
        <v>47</v>
      </c>
      <c r="C299" s="16" t="s">
        <v>63</v>
      </c>
      <c r="D299" s="16" t="s">
        <v>21</v>
      </c>
      <c r="E299" s="16" t="s">
        <v>28</v>
      </c>
      <c r="F299" s="16" t="s">
        <v>19</v>
      </c>
      <c r="G299" s="16" t="n">
        <v>1</v>
      </c>
      <c r="H299" s="17" t="n">
        <v>46218.0138888889</v>
      </c>
      <c r="I299" s="17" t="n">
        <v>46220.1659722222</v>
      </c>
      <c r="J299" s="18" t="n">
        <v>51.6</v>
      </c>
      <c r="K299" s="16" t="n">
        <v>72</v>
      </c>
      <c r="L299" s="16" t="s">
        <v>62</v>
      </c>
    </row>
    <row r="300" customFormat="false" ht="15" hidden="false" customHeight="false" outlineLevel="0" collapsed="false">
      <c r="A300" s="16" t="n">
        <v>299</v>
      </c>
      <c r="B300" s="16" t="s">
        <v>40</v>
      </c>
      <c r="C300" s="16" t="s">
        <v>61</v>
      </c>
      <c r="D300" s="16" t="s">
        <v>18</v>
      </c>
      <c r="E300" s="16" t="s">
        <v>28</v>
      </c>
      <c r="F300" s="16" t="s">
        <v>17</v>
      </c>
      <c r="G300" s="16" t="n">
        <v>2</v>
      </c>
      <c r="H300" s="17" t="n">
        <v>46241.8875</v>
      </c>
      <c r="I300" s="17"/>
      <c r="J300" s="18"/>
      <c r="K300" s="16" t="n">
        <v>72</v>
      </c>
      <c r="L300" s="16" t="s">
        <v>64</v>
      </c>
    </row>
    <row r="301" customFormat="false" ht="15" hidden="false" customHeight="false" outlineLevel="0" collapsed="false">
      <c r="A301" s="16" t="n">
        <v>300</v>
      </c>
      <c r="B301" s="16" t="s">
        <v>45</v>
      </c>
      <c r="C301" s="16" t="s">
        <v>61</v>
      </c>
      <c r="D301" s="16" t="s">
        <v>20</v>
      </c>
      <c r="E301" s="16" t="s">
        <v>26</v>
      </c>
      <c r="F301" s="16" t="s">
        <v>19</v>
      </c>
      <c r="G301" s="16" t="n">
        <v>1</v>
      </c>
      <c r="H301" s="17" t="n">
        <v>46242.0368055556</v>
      </c>
      <c r="I301" s="17" t="n">
        <v>46242.0743055556</v>
      </c>
      <c r="J301" s="18" t="n">
        <v>0.9</v>
      </c>
      <c r="K301" s="16" t="n">
        <v>4</v>
      </c>
      <c r="L301" s="1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9" t="s">
        <v>65</v>
      </c>
    </row>
    <row r="3" customFormat="false" ht="15" hidden="false" customHeight="false" outlineLevel="0" collapsed="false">
      <c r="B3" s="20" t="s">
        <v>66</v>
      </c>
    </row>
    <row r="4" customFormat="false" ht="15" hidden="false" customHeight="false" outlineLevel="0" collapsed="false">
      <c r="B4" s="20"/>
    </row>
    <row r="5" customFormat="false" ht="15" hidden="false" customHeight="false" outlineLevel="0" collapsed="false">
      <c r="B5" s="21" t="s">
        <v>67</v>
      </c>
    </row>
    <row r="6" customFormat="false" ht="15" hidden="false" customHeight="false" outlineLevel="0" collapsed="false">
      <c r="B6" s="20" t="s">
        <v>68</v>
      </c>
    </row>
    <row r="7" customFormat="false" ht="15" hidden="false" customHeight="false" outlineLevel="0" collapsed="false">
      <c r="B7" s="20" t="s">
        <v>69</v>
      </c>
    </row>
    <row r="8" customFormat="false" ht="15" hidden="false" customHeight="false" outlineLevel="0" collapsed="false">
      <c r="B8" s="20" t="s">
        <v>70</v>
      </c>
    </row>
    <row r="9" customFormat="false" ht="15" hidden="false" customHeight="false" outlineLevel="0" collapsed="false">
      <c r="B9" s="20"/>
    </row>
    <row r="10" customFormat="false" ht="15" hidden="false" customHeight="false" outlineLevel="0" collapsed="false">
      <c r="B10" s="21" t="s">
        <v>71</v>
      </c>
    </row>
    <row r="11" customFormat="false" ht="15" hidden="false" customHeight="false" outlineLevel="0" collapsed="false">
      <c r="B11" s="20" t="s">
        <v>72</v>
      </c>
    </row>
    <row r="12" customFormat="false" ht="15" hidden="false" customHeight="false" outlineLevel="0" collapsed="false">
      <c r="B12" s="20" t="s">
        <v>73</v>
      </c>
    </row>
    <row r="13" customFormat="false" ht="15" hidden="false" customHeight="false" outlineLevel="0" collapsed="false">
      <c r="B13" s="20" t="s">
        <v>74</v>
      </c>
    </row>
    <row r="14" customFormat="false" ht="15" hidden="false" customHeight="false" outlineLevel="0" collapsed="false">
      <c r="B14" s="20" t="s">
        <v>75</v>
      </c>
    </row>
    <row r="15" customFormat="false" ht="15" hidden="false" customHeight="false" outlineLevel="0" collapsed="false">
      <c r="B15" s="20" t="s">
        <v>76</v>
      </c>
    </row>
    <row r="16" customFormat="false" ht="15" hidden="false" customHeight="false" outlineLevel="0" collapsed="false">
      <c r="B16" s="20" t="s">
        <v>77</v>
      </c>
    </row>
    <row r="17" customFormat="false" ht="15" hidden="false" customHeight="false" outlineLevel="0" collapsed="false">
      <c r="B17" s="20"/>
    </row>
    <row r="18" customFormat="false" ht="15" hidden="false" customHeight="false" outlineLevel="0" collapsed="false">
      <c r="B18" s="21" t="s">
        <v>78</v>
      </c>
    </row>
    <row r="19" customFormat="false" ht="15" hidden="false" customHeight="false" outlineLevel="0" collapsed="false">
      <c r="B19" s="20" t="s">
        <v>79</v>
      </c>
    </row>
    <row r="20" customFormat="false" ht="15" hidden="false" customHeight="false" outlineLevel="0" collapsed="false">
      <c r="B20" s="20" t="s">
        <v>80</v>
      </c>
    </row>
    <row r="21" customFormat="false" ht="15" hidden="false" customHeight="false" outlineLevel="0" collapsed="false">
      <c r="B21" s="20" t="s">
        <v>81</v>
      </c>
    </row>
    <row r="22" customFormat="false" ht="15" hidden="false" customHeight="false" outlineLevel="0" collapsed="false">
      <c r="B22" s="20" t="s">
        <v>82</v>
      </c>
    </row>
    <row r="23" customFormat="false" ht="15" hidden="false" customHeight="false" outlineLevel="0" collapsed="false">
      <c r="B23" s="20" t="s">
        <v>83</v>
      </c>
    </row>
    <row r="24" customFormat="false" ht="15" hidden="false" customHeight="false" outlineLevel="0" collapsed="false">
      <c r="B24" s="20" t="s">
        <v>84</v>
      </c>
    </row>
    <row r="25" customFormat="false" ht="15" hidden="false" customHeight="false" outlineLevel="0" collapsed="false">
      <c r="B25" s="20" t="s">
        <v>85</v>
      </c>
    </row>
    <row r="26" customFormat="false" ht="15" hidden="false" customHeight="false" outlineLevel="0" collapsed="false">
      <c r="B26" s="20" t="s">
        <v>86</v>
      </c>
    </row>
    <row r="27" customFormat="false" ht="15" hidden="false" customHeight="false" outlineLevel="0" collapsed="false">
      <c r="B27" s="20" t="s">
        <v>87</v>
      </c>
    </row>
    <row r="28" customFormat="false" ht="15" hidden="false" customHeight="false" outlineLevel="0" collapsed="false">
      <c r="B28" s="2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2026-09-29T03:20:54Z</dcterms:created>
  <dc:creator>openpyxl</dc:creator>
  <dc:description/>
  <dc:language>en-US</dc:language>
  <cp:lastModifiedBy/>
  <dcterms:modified xsi:type="dcterms:W3CDTF">2026-09-29T03:20:56Z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